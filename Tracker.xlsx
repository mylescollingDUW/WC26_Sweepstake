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structions" sheetId="1" state="visible" r:id="rId1"/>
    <sheet name="Participants" sheetId="2" state="visible" r:id="rId2"/>
    <sheet name="Match Data" sheetId="3" state="visible" r:id="rId3"/>
    <sheet name="Team Totals" sheetId="4" state="visible" r:id="rId4"/>
    <sheet name="Leaderboard" sheetId="5" state="visible" r:id="rId5"/>
    <sheet name="Awards" sheetId="6" state="visible" r:id="rId6"/>
    <sheet name="Golden Boot Tracker" sheetId="7" state="visible" r:id="rId7"/>
  </sheets>
  <definedNames>
    <definedName name="_xlnm._FilterDatabase" localSheetId="6" hidden="1">'Golden Boot Tracker'!$A$1:$D$51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0" borderId="0" pivotButton="0" quotePrefix="0" xfId="0"/>
    <xf numFmtId="14" fontId="0" fillId="0" borderId="0" pivotButton="0" quotePrefix="0" xfId="0"/>
    <xf numFmtId="1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E15" sqref="E15"/>
    </sheetView>
  </sheetViews>
  <sheetFormatPr baseColWidth="8" defaultRowHeight="15"/>
  <cols>
    <col width="110" customWidth="1" min="1" max="1"/>
  </cols>
  <sheetData>
    <row r="1" ht="18.75" customHeight="1">
      <c r="A1" s="1" t="inlineStr">
        <is>
          <t>WC26 Sweepstake Tracker - quick guide</t>
        </is>
      </c>
    </row>
    <row r="3">
      <c r="A3" t="inlineStr">
        <is>
          <t>1. Participants - fill in the 48 teams (4 per group A-L) and the entrant who drew each.</t>
        </is>
      </c>
    </row>
    <row r="4">
      <c r="A4" t="inlineStr">
        <is>
          <t>2. Match Data - one row per match. Date, Stage (Group/R32/QF/SF/F/3rd), teams, scores,</t>
        </is>
      </c>
    </row>
    <row r="5">
      <c r="A5" t="inlineStr">
        <is>
          <t xml:space="preserve">   then the stat-panel numbers from Google. Goal Diff and Winning Team auto-fill.</t>
        </is>
      </c>
    </row>
    <row r="6">
      <c r="A6" t="inlineStr">
        <is>
          <t>3. Minutes - enter 90 for group games. For knockouts that go to extra time, enter 120.</t>
        </is>
      </c>
    </row>
    <row r="7">
      <c r="A7" t="inlineStr">
        <is>
          <t xml:space="preserve">   This is the denominator for all per-90 stats. Penalty shootout stats are not recorded.</t>
        </is>
      </c>
    </row>
    <row r="8">
      <c r="A8" t="inlineStr">
        <is>
          <t>4. Possession - enter as a whole number (e.g. 75 not 0.75). Both teams should sum to 100.</t>
        </is>
      </c>
    </row>
    <row r="9">
      <c r="A9" t="inlineStr">
        <is>
          <t>5. Cards - record exactly what the Google stat panel shows in the Yellow / Red boxes.</t>
        </is>
      </c>
    </row>
    <row r="10">
      <c r="A10" t="inlineStr">
        <is>
          <t xml:space="preserve">   Card Points = Yellows*1 + Reds*2. When a player gets 2 yellows -&gt; red, Google's panel</t>
        </is>
      </c>
    </row>
    <row r="11">
      <c r="A11" t="inlineStr">
        <is>
          <t xml:space="preserve">   typically shows it as 2 yellows AND 1 red. Recording what you see weights that incident</t>
        </is>
      </c>
    </row>
    <row r="12">
      <c r="A12" t="inlineStr">
        <is>
          <t xml:space="preserve">   as 4 points - which feels fair, it is a worse offence than a single yellow.</t>
        </is>
      </c>
    </row>
    <row r="13">
      <c r="A13" t="inlineStr">
        <is>
          <t>6. Team Totals + Leaderboard - fully formula-driven, no editing needed.</t>
        </is>
      </c>
    </row>
    <row r="14">
      <c r="A14" t="inlineStr">
        <is>
          <t>7. Awards - manually enter the country / team for each award when announced. Entrant auto-fills.</t>
        </is>
      </c>
    </row>
    <row r="15">
      <c r="A15" t="inlineStr">
        <is>
          <t>8. Golden Boot Tracker - keep updated through the tournament so you can see who is in the race.</t>
        </is>
      </c>
    </row>
    <row r="16">
      <c r="A16" t="inlineStr">
        <is>
          <t xml:space="preserve">   Sort the table by Goals (descending) to see the leader.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tabSelected="1" workbookViewId="0">
      <pane ySplit="1" topLeftCell="A2" activePane="bottomLeft" state="frozen"/>
      <selection pane="bottomLeft" activeCell="H20" sqref="H20"/>
    </sheetView>
  </sheetViews>
  <sheetFormatPr baseColWidth="8" defaultRowHeight="15"/>
  <cols>
    <col width="8" bestFit="1" customWidth="1" min="1" max="1"/>
    <col width="22" bestFit="1" customWidth="1" min="2" max="3"/>
  </cols>
  <sheetData>
    <row r="1">
      <c r="A1" s="2" t="inlineStr">
        <is>
          <t>Group</t>
        </is>
      </c>
      <c r="B1" s="2" t="inlineStr">
        <is>
          <t>Team</t>
        </is>
      </c>
      <c r="C1" s="2" t="inlineStr">
        <is>
          <t>Entrant</t>
        </is>
      </c>
    </row>
    <row r="2">
      <c r="A2" t="inlineStr">
        <is>
          <t>A</t>
        </is>
      </c>
      <c r="B2" t="inlineStr">
        <is>
          <t>Mexico</t>
        </is>
      </c>
    </row>
    <row r="3">
      <c r="A3" t="inlineStr">
        <is>
          <t>A</t>
        </is>
      </c>
      <c r="B3" t="inlineStr">
        <is>
          <t>South Africa</t>
        </is>
      </c>
    </row>
    <row r="4">
      <c r="A4" t="inlineStr">
        <is>
          <t>A</t>
        </is>
      </c>
      <c r="B4" t="inlineStr">
        <is>
          <t>Korea Republic</t>
        </is>
      </c>
    </row>
    <row r="5">
      <c r="A5" t="inlineStr">
        <is>
          <t>A</t>
        </is>
      </c>
      <c r="B5" t="inlineStr">
        <is>
          <t>Czechia</t>
        </is>
      </c>
    </row>
    <row r="6">
      <c r="A6" t="inlineStr">
        <is>
          <t>B</t>
        </is>
      </c>
      <c r="B6" t="inlineStr">
        <is>
          <t>Canada</t>
        </is>
      </c>
    </row>
    <row r="7">
      <c r="A7" t="inlineStr">
        <is>
          <t>B</t>
        </is>
      </c>
      <c r="B7" t="inlineStr">
        <is>
          <t>Bosnia and Herzegovina</t>
        </is>
      </c>
    </row>
    <row r="8">
      <c r="A8" t="inlineStr">
        <is>
          <t>B</t>
        </is>
      </c>
      <c r="B8" t="inlineStr">
        <is>
          <t>Qatar</t>
        </is>
      </c>
    </row>
    <row r="9">
      <c r="A9" t="inlineStr">
        <is>
          <t>B</t>
        </is>
      </c>
      <c r="B9" t="inlineStr">
        <is>
          <t>Switzerland</t>
        </is>
      </c>
    </row>
    <row r="10">
      <c r="A10" t="inlineStr">
        <is>
          <t>C</t>
        </is>
      </c>
      <c r="B10" t="inlineStr">
        <is>
          <t>Brazil</t>
        </is>
      </c>
    </row>
    <row r="11">
      <c r="A11" t="inlineStr">
        <is>
          <t>C</t>
        </is>
      </c>
      <c r="B11" t="inlineStr">
        <is>
          <t>Morocco</t>
        </is>
      </c>
    </row>
    <row r="12">
      <c r="A12" t="inlineStr">
        <is>
          <t>C</t>
        </is>
      </c>
      <c r="B12" t="inlineStr">
        <is>
          <t>Haiti</t>
        </is>
      </c>
    </row>
    <row r="13">
      <c r="A13" t="inlineStr">
        <is>
          <t>C</t>
        </is>
      </c>
      <c r="B13" t="inlineStr">
        <is>
          <t>Scotland</t>
        </is>
      </c>
    </row>
    <row r="14">
      <c r="A14" t="inlineStr">
        <is>
          <t>D</t>
        </is>
      </c>
      <c r="B14" t="inlineStr">
        <is>
          <t>USA</t>
        </is>
      </c>
    </row>
    <row r="15">
      <c r="A15" t="inlineStr">
        <is>
          <t>D</t>
        </is>
      </c>
      <c r="B15" t="inlineStr">
        <is>
          <t>Paraguay</t>
        </is>
      </c>
    </row>
    <row r="16">
      <c r="A16" t="inlineStr">
        <is>
          <t>D</t>
        </is>
      </c>
      <c r="B16" t="inlineStr">
        <is>
          <t>Australia</t>
        </is>
      </c>
    </row>
    <row r="17">
      <c r="A17" t="inlineStr">
        <is>
          <t>D</t>
        </is>
      </c>
      <c r="B17" t="inlineStr">
        <is>
          <t>Türkiye</t>
        </is>
      </c>
    </row>
    <row r="18">
      <c r="A18" t="inlineStr">
        <is>
          <t>E</t>
        </is>
      </c>
      <c r="B18" t="inlineStr">
        <is>
          <t>Germany</t>
        </is>
      </c>
    </row>
    <row r="19">
      <c r="A19" t="inlineStr">
        <is>
          <t>E</t>
        </is>
      </c>
      <c r="B19" t="inlineStr">
        <is>
          <t>Curaçao</t>
        </is>
      </c>
    </row>
    <row r="20">
      <c r="A20" t="inlineStr">
        <is>
          <t>E</t>
        </is>
      </c>
      <c r="B20" t="inlineStr">
        <is>
          <t>Côte d'Ivoire</t>
        </is>
      </c>
    </row>
    <row r="21">
      <c r="A21" t="inlineStr">
        <is>
          <t>E</t>
        </is>
      </c>
      <c r="B21" t="inlineStr">
        <is>
          <t>Ecuador</t>
        </is>
      </c>
    </row>
    <row r="22">
      <c r="A22" t="inlineStr">
        <is>
          <t>F</t>
        </is>
      </c>
      <c r="B22" t="inlineStr">
        <is>
          <t>Netherlands</t>
        </is>
      </c>
    </row>
    <row r="23">
      <c r="A23" t="inlineStr">
        <is>
          <t>F</t>
        </is>
      </c>
      <c r="B23" t="inlineStr">
        <is>
          <t>Japan</t>
        </is>
      </c>
    </row>
    <row r="24">
      <c r="A24" t="inlineStr">
        <is>
          <t>F</t>
        </is>
      </c>
      <c r="B24" t="inlineStr">
        <is>
          <t>Sweden</t>
        </is>
      </c>
    </row>
    <row r="25">
      <c r="A25" t="inlineStr">
        <is>
          <t>F</t>
        </is>
      </c>
      <c r="B25" t="inlineStr">
        <is>
          <t>Tunisia</t>
        </is>
      </c>
    </row>
    <row r="26">
      <c r="A26" t="inlineStr">
        <is>
          <t>G</t>
        </is>
      </c>
      <c r="B26" t="inlineStr">
        <is>
          <t>Belgium</t>
        </is>
      </c>
    </row>
    <row r="27">
      <c r="A27" t="inlineStr">
        <is>
          <t>G</t>
        </is>
      </c>
      <c r="B27" t="inlineStr">
        <is>
          <t>Egypt</t>
        </is>
      </c>
    </row>
    <row r="28">
      <c r="A28" t="inlineStr">
        <is>
          <t>G</t>
        </is>
      </c>
      <c r="B28" t="inlineStr">
        <is>
          <t>IR Iran</t>
        </is>
      </c>
    </row>
    <row r="29">
      <c r="A29" t="inlineStr">
        <is>
          <t>G</t>
        </is>
      </c>
      <c r="B29" t="inlineStr">
        <is>
          <t>New Zealand</t>
        </is>
      </c>
    </row>
    <row r="30">
      <c r="A30" t="inlineStr">
        <is>
          <t>H</t>
        </is>
      </c>
      <c r="B30" t="inlineStr">
        <is>
          <t>Spain</t>
        </is>
      </c>
    </row>
    <row r="31">
      <c r="A31" t="inlineStr">
        <is>
          <t>H</t>
        </is>
      </c>
      <c r="B31" t="inlineStr">
        <is>
          <t>Cabo Verde</t>
        </is>
      </c>
    </row>
    <row r="32">
      <c r="A32" t="inlineStr">
        <is>
          <t>H</t>
        </is>
      </c>
      <c r="B32" t="inlineStr">
        <is>
          <t>Saudi Arabia</t>
        </is>
      </c>
    </row>
    <row r="33">
      <c r="A33" t="inlineStr">
        <is>
          <t>H</t>
        </is>
      </c>
      <c r="B33" t="inlineStr">
        <is>
          <t>Uruguay</t>
        </is>
      </c>
    </row>
    <row r="34">
      <c r="A34" t="inlineStr">
        <is>
          <t>I</t>
        </is>
      </c>
      <c r="B34" t="inlineStr">
        <is>
          <t>France</t>
        </is>
      </c>
    </row>
    <row r="35">
      <c r="A35" t="inlineStr">
        <is>
          <t>I</t>
        </is>
      </c>
      <c r="B35" t="inlineStr">
        <is>
          <t>Senegal</t>
        </is>
      </c>
    </row>
    <row r="36">
      <c r="A36" t="inlineStr">
        <is>
          <t>I</t>
        </is>
      </c>
      <c r="B36" t="inlineStr">
        <is>
          <t>Iraq</t>
        </is>
      </c>
    </row>
    <row r="37">
      <c r="A37" t="inlineStr">
        <is>
          <t>I</t>
        </is>
      </c>
      <c r="B37" t="inlineStr">
        <is>
          <t>Norway</t>
        </is>
      </c>
    </row>
    <row r="38">
      <c r="A38" t="inlineStr">
        <is>
          <t>J</t>
        </is>
      </c>
      <c r="B38" t="inlineStr">
        <is>
          <t>Argentina</t>
        </is>
      </c>
    </row>
    <row r="39">
      <c r="A39" t="inlineStr">
        <is>
          <t>J</t>
        </is>
      </c>
      <c r="B39" t="inlineStr">
        <is>
          <t>Algeria</t>
        </is>
      </c>
    </row>
    <row r="40">
      <c r="A40" t="inlineStr">
        <is>
          <t>J</t>
        </is>
      </c>
      <c r="B40" t="inlineStr">
        <is>
          <t>Austria</t>
        </is>
      </c>
    </row>
    <row r="41">
      <c r="A41" t="inlineStr">
        <is>
          <t>J</t>
        </is>
      </c>
      <c r="B41" t="inlineStr">
        <is>
          <t>Jordan</t>
        </is>
      </c>
    </row>
    <row r="42">
      <c r="A42" t="inlineStr">
        <is>
          <t>K</t>
        </is>
      </c>
      <c r="B42" t="inlineStr">
        <is>
          <t>Portugal</t>
        </is>
      </c>
    </row>
    <row r="43">
      <c r="A43" t="inlineStr">
        <is>
          <t>K</t>
        </is>
      </c>
      <c r="B43" t="inlineStr">
        <is>
          <t>Congo DR</t>
        </is>
      </c>
    </row>
    <row r="44">
      <c r="A44" t="inlineStr">
        <is>
          <t>K</t>
        </is>
      </c>
      <c r="B44" t="inlineStr">
        <is>
          <t>Uzbekistan</t>
        </is>
      </c>
    </row>
    <row r="45">
      <c r="A45" t="inlineStr">
        <is>
          <t>K</t>
        </is>
      </c>
      <c r="B45" t="inlineStr">
        <is>
          <t>Colombia</t>
        </is>
      </c>
    </row>
    <row r="46">
      <c r="A46" t="inlineStr">
        <is>
          <t>L</t>
        </is>
      </c>
      <c r="B46" t="inlineStr">
        <is>
          <t>England</t>
        </is>
      </c>
    </row>
    <row r="47">
      <c r="A47" t="inlineStr">
        <is>
          <t>L</t>
        </is>
      </c>
      <c r="B47" t="inlineStr">
        <is>
          <t>Croatia</t>
        </is>
      </c>
    </row>
    <row r="48">
      <c r="A48" t="inlineStr">
        <is>
          <t>L</t>
        </is>
      </c>
      <c r="B48" t="inlineStr">
        <is>
          <t>Ghana</t>
        </is>
      </c>
    </row>
    <row r="49">
      <c r="A49" t="inlineStr">
        <is>
          <t>L</t>
        </is>
      </c>
      <c r="B49" t="inlineStr">
        <is>
          <t>Panama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1"/>
  <sheetViews>
    <sheetView zoomScale="70" zoomScaleNormal="70" workbookViewId="0">
      <pane ySplit="1" topLeftCell="A2" activePane="bottomLeft" state="frozen"/>
      <selection pane="bottomLeft" activeCell="M14" sqref="M14"/>
    </sheetView>
  </sheetViews>
  <sheetFormatPr baseColWidth="8" defaultRowHeight="15"/>
  <cols>
    <col width="12" bestFit="1" customWidth="1" min="1" max="1"/>
    <col width="31.85546875" customWidth="1" min="2" max="2"/>
    <col width="18" bestFit="1" customWidth="1" min="3" max="4"/>
    <col width="11" bestFit="1" customWidth="1" min="5" max="6"/>
    <col width="9" bestFit="1" customWidth="1" min="7" max="7"/>
    <col width="11" bestFit="1" customWidth="1" min="8" max="9"/>
    <col width="10" bestFit="1" customWidth="1" min="10" max="11"/>
    <col width="18" bestFit="1" customWidth="1" min="12" max="13"/>
    <col width="11" bestFit="1" customWidth="1" min="14" max="15"/>
    <col width="12" bestFit="1" customWidth="1" min="16" max="17"/>
    <col width="10" bestFit="1" customWidth="1" min="18" max="19"/>
    <col width="13" bestFit="1" customWidth="1" min="20" max="23"/>
    <col width="10" bestFit="1" customWidth="1" min="24" max="24"/>
    <col width="14" bestFit="1" customWidth="1" min="25" max="25"/>
  </cols>
  <sheetData>
    <row r="1">
      <c r="A1" s="2" t="inlineStr">
        <is>
          <t>Date</t>
        </is>
      </c>
      <c r="B1" s="2" t="inlineStr">
        <is>
          <t>Stage</t>
        </is>
      </c>
      <c r="C1" s="2" t="inlineStr">
        <is>
          <t>Home Team</t>
        </is>
      </c>
      <c r="D1" s="2" t="inlineStr">
        <is>
          <t>Away Team</t>
        </is>
      </c>
      <c r="E1" s="2" t="inlineStr">
        <is>
          <t>Home Score</t>
        </is>
      </c>
      <c r="F1" s="2" t="inlineStr">
        <is>
          <t>Away Score</t>
        </is>
      </c>
      <c r="G1" s="2" t="inlineStr">
        <is>
          <t>Minutes</t>
        </is>
      </c>
      <c r="H1" s="2" t="inlineStr">
        <is>
          <t>Home Shots</t>
        </is>
      </c>
      <c r="I1" s="2" t="inlineStr">
        <is>
          <t>Away Shots</t>
        </is>
      </c>
      <c r="J1" s="2" t="inlineStr">
        <is>
          <t>Home SoT</t>
        </is>
      </c>
      <c r="K1" s="2" t="inlineStr">
        <is>
          <t>Away SoT</t>
        </is>
      </c>
      <c r="L1" s="2" t="inlineStr">
        <is>
          <t>Home Possession %</t>
        </is>
      </c>
      <c r="M1" s="2" t="inlineStr">
        <is>
          <t>Away Possession %</t>
        </is>
      </c>
      <c r="N1" s="2" t="inlineStr">
        <is>
          <t>Home Fouls</t>
        </is>
      </c>
      <c r="O1" s="2" t="inlineStr">
        <is>
          <t>Away Fouls</t>
        </is>
      </c>
      <c r="P1" s="2" t="inlineStr">
        <is>
          <t>Home Yellow</t>
        </is>
      </c>
      <c r="Q1" s="2" t="inlineStr">
        <is>
          <t>Away Yellow</t>
        </is>
      </c>
      <c r="R1" s="2" t="inlineStr">
        <is>
          <t>Home Red</t>
        </is>
      </c>
      <c r="S1" s="2" t="inlineStr">
        <is>
          <t>Away Red</t>
        </is>
      </c>
      <c r="T1" s="2" t="inlineStr">
        <is>
          <t>Home Offsides</t>
        </is>
      </c>
      <c r="U1" s="2" t="inlineStr">
        <is>
          <t>Away Offsides</t>
        </is>
      </c>
      <c r="V1" s="2" t="inlineStr">
        <is>
          <t>Home Corners</t>
        </is>
      </c>
      <c r="W1" s="2" t="inlineStr">
        <is>
          <t>Away Corners</t>
        </is>
      </c>
      <c r="X1" s="2" t="inlineStr">
        <is>
          <t>Goal Diff</t>
        </is>
      </c>
      <c r="Y1" s="2" t="inlineStr">
        <is>
          <t>Winning Team</t>
        </is>
      </c>
    </row>
    <row r="2">
      <c r="A2" s="4" t="n">
        <v>46184</v>
      </c>
      <c r="B2" t="inlineStr">
        <is>
          <t>Group</t>
        </is>
      </c>
      <c r="C2" t="inlineStr">
        <is>
          <t>Mexico</t>
        </is>
      </c>
      <c r="D2" t="inlineStr">
        <is>
          <t>South Africa</t>
        </is>
      </c>
      <c r="G2" t="n">
        <v>90</v>
      </c>
      <c r="X2">
        <f>IF(E2="","",ABS(E2-F2))</f>
        <v/>
      </c>
      <c r="Y2">
        <f>IF(E2="","",IF(E2&gt;F2,C2,IF(F2&gt;E2,D2,"Draw")))</f>
        <v/>
      </c>
    </row>
    <row r="3">
      <c r="A3" s="4" t="n">
        <v>46185</v>
      </c>
      <c r="B3" t="inlineStr">
        <is>
          <t>Group</t>
        </is>
      </c>
      <c r="C3" t="inlineStr">
        <is>
          <t>Korea Republic</t>
        </is>
      </c>
      <c r="D3" t="inlineStr">
        <is>
          <t>Czechia</t>
        </is>
      </c>
      <c r="G3" t="n">
        <v>90</v>
      </c>
      <c r="X3">
        <f>IF(E3="","",ABS(E3-F3))</f>
        <v/>
      </c>
      <c r="Y3">
        <f>IF(E3="","",IF(E3&gt;F3,C3,IF(F3&gt;E3,D3,"Draw")))</f>
        <v/>
      </c>
    </row>
    <row r="4">
      <c r="A4" s="4" t="n">
        <v>46185</v>
      </c>
      <c r="B4" t="inlineStr">
        <is>
          <t>Group</t>
        </is>
      </c>
      <c r="C4" t="inlineStr">
        <is>
          <t>Canada</t>
        </is>
      </c>
      <c r="D4" t="inlineStr">
        <is>
          <t>Bosnia and Herzegovina</t>
        </is>
      </c>
      <c r="G4" t="n">
        <v>90</v>
      </c>
      <c r="X4">
        <f>IF(E4="","",ABS(E4-F4))</f>
        <v/>
      </c>
      <c r="Y4">
        <f>IF(E4="","",IF(E4&gt;F4,C4,IF(F4&gt;E4,D4,"Draw")))</f>
        <v/>
      </c>
    </row>
    <row r="5">
      <c r="A5" s="4" t="n">
        <v>46186</v>
      </c>
      <c r="B5" t="inlineStr">
        <is>
          <t>Group</t>
        </is>
      </c>
      <c r="C5" t="inlineStr">
        <is>
          <t>USA</t>
        </is>
      </c>
      <c r="D5" t="inlineStr">
        <is>
          <t>Paraguay</t>
        </is>
      </c>
      <c r="G5" t="n">
        <v>90</v>
      </c>
      <c r="X5">
        <f>IF(E5="","",ABS(E5-F5))</f>
        <v/>
      </c>
      <c r="Y5">
        <f>IF(E5="","",IF(E5&gt;F5,C5,IF(F5&gt;E5,D5,"Draw")))</f>
        <v/>
      </c>
    </row>
    <row r="6">
      <c r="A6" s="4" t="n">
        <v>46186</v>
      </c>
      <c r="B6" t="inlineStr">
        <is>
          <t>Group</t>
        </is>
      </c>
      <c r="C6" t="inlineStr">
        <is>
          <t>Qatar</t>
        </is>
      </c>
      <c r="D6" t="inlineStr">
        <is>
          <t>Switzerland</t>
        </is>
      </c>
      <c r="G6" t="n">
        <v>90</v>
      </c>
      <c r="X6">
        <f>IF(E6="","",ABS(E6-F6))</f>
        <v/>
      </c>
      <c r="Y6">
        <f>IF(E6="","",IF(E6&gt;F6,C6,IF(F6&gt;E6,D6,"Draw")))</f>
        <v/>
      </c>
    </row>
    <row r="7">
      <c r="A7" s="4" t="n">
        <v>46186</v>
      </c>
      <c r="B7" t="inlineStr">
        <is>
          <t>Group</t>
        </is>
      </c>
      <c r="C7" t="inlineStr">
        <is>
          <t>Brazil</t>
        </is>
      </c>
      <c r="D7" t="inlineStr">
        <is>
          <t>Morocco</t>
        </is>
      </c>
      <c r="G7" t="n">
        <v>90</v>
      </c>
      <c r="X7">
        <f>IF(E7="","",ABS(E7-F7))</f>
        <v/>
      </c>
      <c r="Y7">
        <f>IF(E7="","",IF(E7&gt;F7,C7,IF(F7&gt;E7,D7,"Draw")))</f>
        <v/>
      </c>
    </row>
    <row r="8">
      <c r="A8" s="4" t="n">
        <v>46187</v>
      </c>
      <c r="B8" t="inlineStr">
        <is>
          <t>Group</t>
        </is>
      </c>
      <c r="C8" t="inlineStr">
        <is>
          <t>Haiti</t>
        </is>
      </c>
      <c r="D8" t="inlineStr">
        <is>
          <t>Scotland</t>
        </is>
      </c>
      <c r="G8" t="n">
        <v>90</v>
      </c>
      <c r="X8">
        <f>IF(E8="","",ABS(E8-F8))</f>
        <v/>
      </c>
      <c r="Y8">
        <f>IF(E8="","",IF(E8&gt;F8,C8,IF(F8&gt;E8,D8,"Draw")))</f>
        <v/>
      </c>
    </row>
    <row r="9">
      <c r="A9" s="4" t="n">
        <v>46187</v>
      </c>
      <c r="B9" t="inlineStr">
        <is>
          <t>Group</t>
        </is>
      </c>
      <c r="C9" t="inlineStr">
        <is>
          <t>Australia</t>
        </is>
      </c>
      <c r="D9" t="inlineStr">
        <is>
          <t>Türkiye</t>
        </is>
      </c>
      <c r="G9" t="n">
        <v>90</v>
      </c>
      <c r="X9">
        <f>IF(E9="","",ABS(E9-F9))</f>
        <v/>
      </c>
      <c r="Y9">
        <f>IF(E9="","",IF(E9&gt;F9,C9,IF(F9&gt;E9,D9,"Draw")))</f>
        <v/>
      </c>
    </row>
    <row r="10">
      <c r="A10" s="4" t="n">
        <v>46187</v>
      </c>
      <c r="B10" t="inlineStr">
        <is>
          <t>Group</t>
        </is>
      </c>
      <c r="C10" t="inlineStr">
        <is>
          <t>Germany</t>
        </is>
      </c>
      <c r="D10" t="inlineStr">
        <is>
          <t>Curaçao</t>
        </is>
      </c>
      <c r="G10" t="n">
        <v>90</v>
      </c>
      <c r="X10">
        <f>IF(E10="","",ABS(E10-F10))</f>
        <v/>
      </c>
      <c r="Y10">
        <f>IF(E10="","",IF(E10&gt;F10,C10,IF(F10&gt;E10,D10,"Draw")))</f>
        <v/>
      </c>
    </row>
    <row r="11">
      <c r="A11" s="4" t="n">
        <v>46187</v>
      </c>
      <c r="B11" t="inlineStr">
        <is>
          <t>Group</t>
        </is>
      </c>
      <c r="C11" t="inlineStr">
        <is>
          <t>Netherlands</t>
        </is>
      </c>
      <c r="D11" t="inlineStr">
        <is>
          <t>Japan</t>
        </is>
      </c>
      <c r="G11" t="n">
        <v>90</v>
      </c>
      <c r="X11">
        <f>IF(E11="","",ABS(E11-F11))</f>
        <v/>
      </c>
      <c r="Y11">
        <f>IF(E11="","",IF(E11&gt;F11,C11,IF(F11&gt;E11,D11,"Draw")))</f>
        <v/>
      </c>
    </row>
    <row r="12">
      <c r="A12" s="4" t="n">
        <v>46188</v>
      </c>
      <c r="B12" t="inlineStr">
        <is>
          <t>Group</t>
        </is>
      </c>
      <c r="C12" t="inlineStr">
        <is>
          <t>Côte d'Ivoire</t>
        </is>
      </c>
      <c r="D12" t="inlineStr">
        <is>
          <t>Ecuador</t>
        </is>
      </c>
      <c r="G12" t="n">
        <v>90</v>
      </c>
      <c r="X12">
        <f>IF(E12="","",ABS(E12-F12))</f>
        <v/>
      </c>
      <c r="Y12">
        <f>IF(E12="","",IF(E12&gt;F12,C12,IF(F12&gt;E12,D12,"Draw")))</f>
        <v/>
      </c>
    </row>
    <row r="13">
      <c r="A13" s="4" t="n">
        <v>46188</v>
      </c>
      <c r="B13" t="inlineStr">
        <is>
          <t>Group</t>
        </is>
      </c>
      <c r="C13" t="inlineStr">
        <is>
          <t>Sweden</t>
        </is>
      </c>
      <c r="D13" t="inlineStr">
        <is>
          <t>Tunisia</t>
        </is>
      </c>
      <c r="G13" t="n">
        <v>90</v>
      </c>
      <c r="X13">
        <f>IF(E13="","",ABS(E13-F13))</f>
        <v/>
      </c>
      <c r="Y13">
        <f>IF(E13="","",IF(E13&gt;F13,C13,IF(F13&gt;E13,D13,"Draw")))</f>
        <v/>
      </c>
    </row>
    <row r="14">
      <c r="A14" s="4" t="n">
        <v>46188</v>
      </c>
      <c r="B14" t="inlineStr">
        <is>
          <t>Group</t>
        </is>
      </c>
      <c r="C14" t="inlineStr">
        <is>
          <t>Spain</t>
        </is>
      </c>
      <c r="D14" t="inlineStr">
        <is>
          <t>Cabo Verde</t>
        </is>
      </c>
      <c r="G14" t="n">
        <v>90</v>
      </c>
      <c r="X14">
        <f>IF(E14="","",ABS(E14-F14))</f>
        <v/>
      </c>
      <c r="Y14">
        <f>IF(E14="","",IF(E14&gt;F14,C14,IF(F14&gt;E14,D14,"Draw")))</f>
        <v/>
      </c>
    </row>
    <row r="15">
      <c r="A15" s="4" t="n">
        <v>46188</v>
      </c>
      <c r="B15" t="inlineStr">
        <is>
          <t>Group</t>
        </is>
      </c>
      <c r="C15" t="inlineStr">
        <is>
          <t>Belgium</t>
        </is>
      </c>
      <c r="D15" t="inlineStr">
        <is>
          <t>Egypt</t>
        </is>
      </c>
      <c r="G15" t="n">
        <v>90</v>
      </c>
      <c r="X15">
        <f>IF(E15="","",ABS(E15-F15))</f>
        <v/>
      </c>
      <c r="Y15">
        <f>IF(E15="","",IF(E15&gt;F15,C15,IF(F15&gt;E15,D15,"Draw")))</f>
        <v/>
      </c>
    </row>
    <row r="16">
      <c r="A16" s="4" t="n">
        <v>46188</v>
      </c>
      <c r="B16" t="inlineStr">
        <is>
          <t>Group</t>
        </is>
      </c>
      <c r="C16" t="inlineStr">
        <is>
          <t>Saudi Arabia</t>
        </is>
      </c>
      <c r="D16" t="inlineStr">
        <is>
          <t>Uruguay</t>
        </is>
      </c>
      <c r="G16" t="n">
        <v>90</v>
      </c>
      <c r="X16">
        <f>IF(E16="","",ABS(E16-F16))</f>
        <v/>
      </c>
      <c r="Y16">
        <f>IF(E16="","",IF(E16&gt;F16,C16,IF(F16&gt;E16,D16,"Draw")))</f>
        <v/>
      </c>
    </row>
    <row r="17">
      <c r="A17" s="4" t="n">
        <v>46189</v>
      </c>
      <c r="B17" t="inlineStr">
        <is>
          <t>Group</t>
        </is>
      </c>
      <c r="C17" t="inlineStr">
        <is>
          <t>Iran</t>
        </is>
      </c>
      <c r="D17" t="inlineStr">
        <is>
          <t>New Zealand</t>
        </is>
      </c>
      <c r="G17" t="n">
        <v>90</v>
      </c>
      <c r="X17">
        <f>IF(E17="","",ABS(E17-F17))</f>
        <v/>
      </c>
      <c r="Y17">
        <f>IF(E17="","",IF(E17&gt;F17,C17,IF(F17&gt;E17,D17,"Draw")))</f>
        <v/>
      </c>
    </row>
    <row r="18">
      <c r="A18" s="4" t="n">
        <v>46189</v>
      </c>
      <c r="B18" t="inlineStr">
        <is>
          <t>Group</t>
        </is>
      </c>
      <c r="C18" t="inlineStr">
        <is>
          <t>France</t>
        </is>
      </c>
      <c r="D18" t="inlineStr">
        <is>
          <t>Senegal</t>
        </is>
      </c>
      <c r="G18" t="n">
        <v>90</v>
      </c>
      <c r="X18">
        <f>IF(E18="","",ABS(E18-F18))</f>
        <v/>
      </c>
      <c r="Y18">
        <f>IF(E18="","",IF(E18&gt;F18,C18,IF(F18&gt;E18,D18,"Draw")))</f>
        <v/>
      </c>
    </row>
    <row r="19">
      <c r="A19" s="4" t="n">
        <v>46189</v>
      </c>
      <c r="B19" t="inlineStr">
        <is>
          <t>Group</t>
        </is>
      </c>
      <c r="C19" t="inlineStr">
        <is>
          <t>Iraq</t>
        </is>
      </c>
      <c r="D19" t="inlineStr">
        <is>
          <t>Norway</t>
        </is>
      </c>
      <c r="G19" t="n">
        <v>90</v>
      </c>
      <c r="X19">
        <f>IF(E19="","",ABS(E19-F19))</f>
        <v/>
      </c>
      <c r="Y19">
        <f>IF(E19="","",IF(E19&gt;F19,C19,IF(F19&gt;E19,D19,"Draw")))</f>
        <v/>
      </c>
    </row>
    <row r="20">
      <c r="A20" s="4" t="n">
        <v>46190</v>
      </c>
      <c r="B20" t="inlineStr">
        <is>
          <t>Group</t>
        </is>
      </c>
      <c r="C20" t="inlineStr">
        <is>
          <t>Argentina</t>
        </is>
      </c>
      <c r="D20" t="inlineStr">
        <is>
          <t>Algeria</t>
        </is>
      </c>
      <c r="G20" t="n">
        <v>90</v>
      </c>
      <c r="X20">
        <f>IF(E20="","",ABS(E20-F20))</f>
        <v/>
      </c>
      <c r="Y20">
        <f>IF(E20="","",IF(E20&gt;F20,C20,IF(F20&gt;E20,D20,"Draw")))</f>
        <v/>
      </c>
    </row>
    <row r="21">
      <c r="A21" s="4" t="n">
        <v>46190</v>
      </c>
      <c r="B21" t="inlineStr">
        <is>
          <t>Group</t>
        </is>
      </c>
      <c r="C21" t="inlineStr">
        <is>
          <t>Austria</t>
        </is>
      </c>
      <c r="D21" t="inlineStr">
        <is>
          <t>Jordan</t>
        </is>
      </c>
      <c r="G21" t="n">
        <v>90</v>
      </c>
      <c r="X21">
        <f>IF(E21="","",ABS(E21-F21))</f>
        <v/>
      </c>
      <c r="Y21">
        <f>IF(E21="","",IF(E21&gt;F21,C21,IF(F21&gt;E21,D21,"Draw")))</f>
        <v/>
      </c>
    </row>
    <row r="22">
      <c r="A22" s="4" t="n">
        <v>46190</v>
      </c>
      <c r="B22" t="inlineStr">
        <is>
          <t>Group</t>
        </is>
      </c>
      <c r="C22" t="inlineStr">
        <is>
          <t>Portugal</t>
        </is>
      </c>
      <c r="D22" t="inlineStr">
        <is>
          <t>DR Congo</t>
        </is>
      </c>
      <c r="G22" t="n">
        <v>90</v>
      </c>
      <c r="X22">
        <f>IF(E22="","",ABS(E22-F22))</f>
        <v/>
      </c>
      <c r="Y22">
        <f>IF(E22="","",IF(E22&gt;F22,C22,IF(F22&gt;E22,D22,"Draw")))</f>
        <v/>
      </c>
    </row>
    <row r="23">
      <c r="A23" s="4" t="n">
        <v>46190</v>
      </c>
      <c r="B23" t="inlineStr">
        <is>
          <t>Group</t>
        </is>
      </c>
      <c r="C23" t="inlineStr">
        <is>
          <t>England</t>
        </is>
      </c>
      <c r="D23" t="inlineStr">
        <is>
          <t>Croatia</t>
        </is>
      </c>
      <c r="G23" t="n">
        <v>90</v>
      </c>
      <c r="X23">
        <f>IF(E23="","",ABS(E23-F23))</f>
        <v/>
      </c>
      <c r="Y23">
        <f>IF(E23="","",IF(E23&gt;F23,C23,IF(F23&gt;E23,D23,"Draw")))</f>
        <v/>
      </c>
    </row>
    <row r="24">
      <c r="A24" s="4" t="n">
        <v>46191</v>
      </c>
      <c r="B24" t="inlineStr">
        <is>
          <t>Group</t>
        </is>
      </c>
      <c r="C24" t="inlineStr">
        <is>
          <t>Ghana</t>
        </is>
      </c>
      <c r="D24" t="inlineStr">
        <is>
          <t>Panama</t>
        </is>
      </c>
      <c r="G24" t="n">
        <v>90</v>
      </c>
      <c r="X24">
        <f>IF(E24="","",ABS(E24-F24))</f>
        <v/>
      </c>
      <c r="Y24">
        <f>IF(E24="","",IF(E24&gt;F24,C24,IF(F24&gt;E24,D24,"Draw")))</f>
        <v/>
      </c>
    </row>
    <row r="25">
      <c r="A25" s="4" t="n">
        <v>46191</v>
      </c>
      <c r="B25" t="inlineStr">
        <is>
          <t>Group</t>
        </is>
      </c>
      <c r="C25" t="inlineStr">
        <is>
          <t>Uzbekistan</t>
        </is>
      </c>
      <c r="D25" t="inlineStr">
        <is>
          <t>Colombia</t>
        </is>
      </c>
      <c r="G25" t="n">
        <v>90</v>
      </c>
      <c r="X25">
        <f>IF(E25="","",ABS(E25-F25))</f>
        <v/>
      </c>
      <c r="Y25">
        <f>IF(E25="","",IF(E25&gt;F25,C25,IF(F25&gt;E25,D25,"Draw")))</f>
        <v/>
      </c>
    </row>
    <row r="26">
      <c r="A26" s="4" t="n">
        <v>46191</v>
      </c>
      <c r="B26" t="inlineStr">
        <is>
          <t>Group</t>
        </is>
      </c>
      <c r="C26" t="inlineStr">
        <is>
          <t>Czechia</t>
        </is>
      </c>
      <c r="D26" t="inlineStr">
        <is>
          <t>South Africa</t>
        </is>
      </c>
      <c r="G26" t="n">
        <v>90</v>
      </c>
      <c r="X26">
        <f>IF(E26="","",ABS(E26-F26))</f>
        <v/>
      </c>
      <c r="Y26">
        <f>IF(E26="","",IF(E26&gt;F26,C26,IF(F26&gt;E26,D26,"Draw")))</f>
        <v/>
      </c>
    </row>
    <row r="27">
      <c r="A27" s="4" t="n">
        <v>46191</v>
      </c>
      <c r="B27" t="inlineStr">
        <is>
          <t>Group</t>
        </is>
      </c>
      <c r="C27" t="inlineStr">
        <is>
          <t>Switzerland</t>
        </is>
      </c>
      <c r="D27" t="inlineStr">
        <is>
          <t>Bosnia and Herzegovina</t>
        </is>
      </c>
      <c r="G27" t="n">
        <v>90</v>
      </c>
      <c r="X27">
        <f>IF(E27="","",ABS(E27-F27))</f>
        <v/>
      </c>
      <c r="Y27">
        <f>IF(E27="","",IF(E27&gt;F27,C27,IF(F27&gt;E27,D27,"Draw")))</f>
        <v/>
      </c>
    </row>
    <row r="28">
      <c r="A28" s="4" t="n">
        <v>46191</v>
      </c>
      <c r="B28" t="inlineStr">
        <is>
          <t>Group</t>
        </is>
      </c>
      <c r="C28" t="inlineStr">
        <is>
          <t>Canada</t>
        </is>
      </c>
      <c r="D28" t="inlineStr">
        <is>
          <t>Qatar</t>
        </is>
      </c>
      <c r="G28" t="n">
        <v>90</v>
      </c>
      <c r="X28">
        <f>IF(E28="","",ABS(E28-F28))</f>
        <v/>
      </c>
      <c r="Y28">
        <f>IF(E28="","",IF(E28&gt;F28,C28,IF(F28&gt;E28,D28,"Draw")))</f>
        <v/>
      </c>
    </row>
    <row r="29">
      <c r="A29" s="4" t="n">
        <v>46192</v>
      </c>
      <c r="B29" t="inlineStr">
        <is>
          <t>Group</t>
        </is>
      </c>
      <c r="C29" t="inlineStr">
        <is>
          <t>Mexico</t>
        </is>
      </c>
      <c r="D29" t="inlineStr">
        <is>
          <t>Korea Republic</t>
        </is>
      </c>
      <c r="G29" t="n">
        <v>90</v>
      </c>
      <c r="X29">
        <f>IF(E29="","",ABS(E29-F29))</f>
        <v/>
      </c>
      <c r="Y29">
        <f>IF(E29="","",IF(E29&gt;F29,C29,IF(F29&gt;E29,D29,"Draw")))</f>
        <v/>
      </c>
    </row>
    <row r="30">
      <c r="A30" s="4" t="n">
        <v>46192</v>
      </c>
      <c r="B30" t="inlineStr">
        <is>
          <t>Group</t>
        </is>
      </c>
      <c r="C30" t="inlineStr">
        <is>
          <t>USA</t>
        </is>
      </c>
      <c r="D30" t="inlineStr">
        <is>
          <t>Australia</t>
        </is>
      </c>
      <c r="G30" t="n">
        <v>90</v>
      </c>
      <c r="X30">
        <f>IF(E30="","",ABS(E30-F30))</f>
        <v/>
      </c>
      <c r="Y30">
        <f>IF(E30="","",IF(E30&gt;F30,C30,IF(F30&gt;E30,D30,"Draw")))</f>
        <v/>
      </c>
    </row>
    <row r="31">
      <c r="A31" s="4" t="n">
        <v>46192</v>
      </c>
      <c r="B31" t="inlineStr">
        <is>
          <t>Group</t>
        </is>
      </c>
      <c r="C31" t="inlineStr">
        <is>
          <t>Scotland</t>
        </is>
      </c>
      <c r="D31" t="inlineStr">
        <is>
          <t>Morocco</t>
        </is>
      </c>
      <c r="G31" t="n">
        <v>90</v>
      </c>
      <c r="X31">
        <f>IF(E31="","",ABS(E31-F31))</f>
        <v/>
      </c>
      <c r="Y31">
        <f>IF(E31="","",IF(E31&gt;F31,C31,IF(F31&gt;E31,D31,"Draw")))</f>
        <v/>
      </c>
    </row>
    <row r="32">
      <c r="A32" s="4" t="n">
        <v>46193</v>
      </c>
      <c r="B32" t="inlineStr">
        <is>
          <t>Group</t>
        </is>
      </c>
      <c r="C32" t="inlineStr">
        <is>
          <t>Brazil</t>
        </is>
      </c>
      <c r="D32" t="inlineStr">
        <is>
          <t>Haiti</t>
        </is>
      </c>
      <c r="G32" t="n">
        <v>90</v>
      </c>
      <c r="X32">
        <f>IF(E32="","",ABS(E32-F32))</f>
        <v/>
      </c>
      <c r="Y32">
        <f>IF(E32="","",IF(E32&gt;F32,C32,IF(F32&gt;E32,D32,"Draw")))</f>
        <v/>
      </c>
    </row>
    <row r="33">
      <c r="A33" s="4" t="n">
        <v>46193</v>
      </c>
      <c r="B33" t="inlineStr">
        <is>
          <t>Group</t>
        </is>
      </c>
      <c r="C33" t="inlineStr">
        <is>
          <t>Türkiye</t>
        </is>
      </c>
      <c r="D33" t="inlineStr">
        <is>
          <t>Paraguay</t>
        </is>
      </c>
      <c r="G33" t="n">
        <v>90</v>
      </c>
      <c r="X33">
        <f>IF(E33="","",ABS(E33-F33))</f>
        <v/>
      </c>
      <c r="Y33">
        <f>IF(E33="","",IF(E33&gt;F33,C33,IF(F33&gt;E33,D33,"Draw")))</f>
        <v/>
      </c>
    </row>
    <row r="34">
      <c r="A34" s="4" t="n">
        <v>46193</v>
      </c>
      <c r="B34" t="inlineStr">
        <is>
          <t>Group</t>
        </is>
      </c>
      <c r="C34" t="inlineStr">
        <is>
          <t>Netherlands</t>
        </is>
      </c>
      <c r="D34" t="inlineStr">
        <is>
          <t>Sweden</t>
        </is>
      </c>
      <c r="G34" t="n">
        <v>90</v>
      </c>
      <c r="X34">
        <f>IF(E34="","",ABS(E34-F34))</f>
        <v/>
      </c>
      <c r="Y34">
        <f>IF(E34="","",IF(E34&gt;F34,C34,IF(F34&gt;E34,D34,"Draw")))</f>
        <v/>
      </c>
    </row>
    <row r="35">
      <c r="A35" s="4" t="n">
        <v>46193</v>
      </c>
      <c r="B35" t="inlineStr">
        <is>
          <t>Group</t>
        </is>
      </c>
      <c r="C35" t="inlineStr">
        <is>
          <t>Germany</t>
        </is>
      </c>
      <c r="D35" t="inlineStr">
        <is>
          <t>Côte d'Ivoire</t>
        </is>
      </c>
      <c r="G35" t="n">
        <v>90</v>
      </c>
      <c r="X35">
        <f>IF(E35="","",ABS(E35-F35))</f>
        <v/>
      </c>
      <c r="Y35">
        <f>IF(E35="","",IF(E35&gt;F35,C35,IF(F35&gt;E35,D35,"Draw")))</f>
        <v/>
      </c>
    </row>
    <row r="36">
      <c r="A36" s="4" t="n">
        <v>46194</v>
      </c>
      <c r="B36" t="inlineStr">
        <is>
          <t>Group</t>
        </is>
      </c>
      <c r="C36" t="inlineStr">
        <is>
          <t>Ecuador</t>
        </is>
      </c>
      <c r="D36" t="inlineStr">
        <is>
          <t>Curaçao</t>
        </is>
      </c>
      <c r="G36" t="n">
        <v>90</v>
      </c>
      <c r="X36">
        <f>IF(E36="","",ABS(E36-F36))</f>
        <v/>
      </c>
      <c r="Y36">
        <f>IF(E36="","",IF(E36&gt;F36,C36,IF(F36&gt;E36,D36,"Draw")))</f>
        <v/>
      </c>
    </row>
    <row r="37">
      <c r="A37" s="4" t="n">
        <v>46194</v>
      </c>
      <c r="B37" t="inlineStr">
        <is>
          <t>Group</t>
        </is>
      </c>
      <c r="C37" t="inlineStr">
        <is>
          <t>Tunisia</t>
        </is>
      </c>
      <c r="D37" t="inlineStr">
        <is>
          <t>Japan</t>
        </is>
      </c>
      <c r="G37" t="n">
        <v>90</v>
      </c>
      <c r="X37">
        <f>IF(E37="","",ABS(E37-F37))</f>
        <v/>
      </c>
      <c r="Y37">
        <f>IF(E37="","",IF(E37&gt;F37,C37,IF(F37&gt;E37,D37,"Draw")))</f>
        <v/>
      </c>
    </row>
    <row r="38">
      <c r="A38" s="4" t="n">
        <v>46194</v>
      </c>
      <c r="B38" t="inlineStr">
        <is>
          <t>Group</t>
        </is>
      </c>
      <c r="C38" t="inlineStr">
        <is>
          <t>Spain</t>
        </is>
      </c>
      <c r="D38" t="inlineStr">
        <is>
          <t>Saudi Arabia</t>
        </is>
      </c>
      <c r="G38" t="n">
        <v>90</v>
      </c>
      <c r="X38">
        <f>IF(E38="","",ABS(E38-F38))</f>
        <v/>
      </c>
      <c r="Y38">
        <f>IF(E38="","",IF(E38&gt;F38,C38,IF(F38&gt;E38,D38,"Draw")))</f>
        <v/>
      </c>
    </row>
    <row r="39">
      <c r="A39" s="4" t="n">
        <v>46194</v>
      </c>
      <c r="B39" t="inlineStr">
        <is>
          <t>Group</t>
        </is>
      </c>
      <c r="C39" t="inlineStr">
        <is>
          <t>Belgium</t>
        </is>
      </c>
      <c r="D39" t="inlineStr">
        <is>
          <t>IR Iran</t>
        </is>
      </c>
      <c r="G39" t="n">
        <v>90</v>
      </c>
      <c r="X39">
        <f>IF(E39="","",ABS(E39-F39))</f>
        <v/>
      </c>
      <c r="Y39">
        <f>IF(E39="","",IF(E39&gt;F39,C39,IF(F39&gt;E39,D39,"Draw")))</f>
        <v/>
      </c>
    </row>
    <row r="40">
      <c r="A40" s="4" t="n">
        <v>46194</v>
      </c>
      <c r="B40" t="inlineStr">
        <is>
          <t>Group</t>
        </is>
      </c>
      <c r="C40" t="inlineStr">
        <is>
          <t>Uruguay</t>
        </is>
      </c>
      <c r="D40" t="inlineStr">
        <is>
          <t>Cabo Verde</t>
        </is>
      </c>
      <c r="G40" t="n">
        <v>90</v>
      </c>
      <c r="X40">
        <f>IF(E40="","",ABS(E40-F40))</f>
        <v/>
      </c>
      <c r="Y40">
        <f>IF(E40="","",IF(E40&gt;F40,C40,IF(F40&gt;E40,D40,"Draw")))</f>
        <v/>
      </c>
    </row>
    <row r="41">
      <c r="A41" s="4" t="n">
        <v>46195</v>
      </c>
      <c r="B41" t="inlineStr">
        <is>
          <t>Group</t>
        </is>
      </c>
      <c r="C41" t="inlineStr">
        <is>
          <t>New Zealand</t>
        </is>
      </c>
      <c r="D41" t="inlineStr">
        <is>
          <t>Egypt</t>
        </is>
      </c>
      <c r="G41" t="n">
        <v>90</v>
      </c>
      <c r="X41">
        <f>IF(E41="","",ABS(E41-F41))</f>
        <v/>
      </c>
      <c r="Y41">
        <f>IF(E41="","",IF(E41&gt;F41,C41,IF(F41&gt;E41,D41,"Draw")))</f>
        <v/>
      </c>
    </row>
    <row r="42">
      <c r="A42" s="4" t="n">
        <v>46195</v>
      </c>
      <c r="B42" t="inlineStr">
        <is>
          <t>Group</t>
        </is>
      </c>
      <c r="C42" t="inlineStr">
        <is>
          <t>Argentina</t>
        </is>
      </c>
      <c r="D42" t="inlineStr">
        <is>
          <t>Austria</t>
        </is>
      </c>
      <c r="G42" t="n">
        <v>90</v>
      </c>
      <c r="X42">
        <f>IF(E42="","",ABS(E42-F42))</f>
        <v/>
      </c>
      <c r="Y42">
        <f>IF(E42="","",IF(E42&gt;F42,C42,IF(F42&gt;E42,D42,"Draw")))</f>
        <v/>
      </c>
    </row>
    <row r="43">
      <c r="A43" s="4" t="n">
        <v>46195</v>
      </c>
      <c r="B43" t="inlineStr">
        <is>
          <t>Group</t>
        </is>
      </c>
      <c r="C43" t="inlineStr">
        <is>
          <t>France</t>
        </is>
      </c>
      <c r="D43" t="inlineStr">
        <is>
          <t>Iraq</t>
        </is>
      </c>
      <c r="G43" t="n">
        <v>90</v>
      </c>
      <c r="X43">
        <f>IF(E43="","",ABS(E43-F43))</f>
        <v/>
      </c>
      <c r="Y43">
        <f>IF(E43="","",IF(E43&gt;F43,C43,IF(F43&gt;E43,D43,"Draw")))</f>
        <v/>
      </c>
    </row>
    <row r="44">
      <c r="A44" s="4" t="n">
        <v>46196</v>
      </c>
      <c r="B44" t="inlineStr">
        <is>
          <t>Group</t>
        </is>
      </c>
      <c r="C44" t="inlineStr">
        <is>
          <t>Norway</t>
        </is>
      </c>
      <c r="D44" t="inlineStr">
        <is>
          <t>Senegal</t>
        </is>
      </c>
      <c r="G44" t="n">
        <v>90</v>
      </c>
      <c r="X44">
        <f>IF(E44="","",ABS(E44-F44))</f>
        <v/>
      </c>
      <c r="Y44">
        <f>IF(E44="","",IF(E44&gt;F44,C44,IF(F44&gt;E44,D44,"Draw")))</f>
        <v/>
      </c>
    </row>
    <row r="45">
      <c r="A45" s="4" t="n">
        <v>46196</v>
      </c>
      <c r="B45" t="inlineStr">
        <is>
          <t>Group</t>
        </is>
      </c>
      <c r="C45" t="inlineStr">
        <is>
          <t>Jordan</t>
        </is>
      </c>
      <c r="D45" t="inlineStr">
        <is>
          <t>Algeria</t>
        </is>
      </c>
      <c r="G45" t="n">
        <v>90</v>
      </c>
      <c r="X45">
        <f>IF(E45="","",ABS(E45-F45))</f>
        <v/>
      </c>
      <c r="Y45">
        <f>IF(E45="","",IF(E45&gt;F45,C45,IF(F45&gt;E45,D45,"Draw")))</f>
        <v/>
      </c>
    </row>
    <row r="46">
      <c r="A46" s="4" t="n">
        <v>46196</v>
      </c>
      <c r="B46" t="inlineStr">
        <is>
          <t>Group</t>
        </is>
      </c>
      <c r="C46" t="inlineStr">
        <is>
          <t>Portugal</t>
        </is>
      </c>
      <c r="D46" t="inlineStr">
        <is>
          <t>Uzbekistan</t>
        </is>
      </c>
      <c r="G46" t="n">
        <v>90</v>
      </c>
      <c r="X46">
        <f>IF(E46="","",ABS(E46-F46))</f>
        <v/>
      </c>
      <c r="Y46">
        <f>IF(E46="","",IF(E46&gt;F46,C46,IF(F46&gt;E46,D46,"Draw")))</f>
        <v/>
      </c>
    </row>
    <row r="47">
      <c r="A47" s="4" t="n">
        <v>46196</v>
      </c>
      <c r="B47" t="inlineStr">
        <is>
          <t>Group</t>
        </is>
      </c>
      <c r="C47" t="inlineStr">
        <is>
          <t>England</t>
        </is>
      </c>
      <c r="D47" t="inlineStr">
        <is>
          <t>Ghana</t>
        </is>
      </c>
      <c r="G47" t="n">
        <v>90</v>
      </c>
      <c r="X47">
        <f>IF(E47="","",ABS(E47-F47))</f>
        <v/>
      </c>
      <c r="Y47">
        <f>IF(E47="","",IF(E47&gt;F47,C47,IF(F47&gt;E47,D47,"Draw")))</f>
        <v/>
      </c>
    </row>
    <row r="48">
      <c r="A48" s="4" t="n">
        <v>46197</v>
      </c>
      <c r="B48" t="inlineStr">
        <is>
          <t>Group</t>
        </is>
      </c>
      <c r="C48" t="inlineStr">
        <is>
          <t>Panama</t>
        </is>
      </c>
      <c r="D48" t="inlineStr">
        <is>
          <t>Croatia</t>
        </is>
      </c>
      <c r="G48" t="n">
        <v>90</v>
      </c>
      <c r="X48">
        <f>IF(E48="","",ABS(E48-F48))</f>
        <v/>
      </c>
      <c r="Y48">
        <f>IF(E48="","",IF(E48&gt;F48,C48,IF(F48&gt;E48,D48,"Draw")))</f>
        <v/>
      </c>
    </row>
    <row r="49">
      <c r="A49" s="4" t="n">
        <v>46197</v>
      </c>
      <c r="B49" t="inlineStr">
        <is>
          <t>Group</t>
        </is>
      </c>
      <c r="C49" t="inlineStr">
        <is>
          <t>Colombia</t>
        </is>
      </c>
      <c r="D49" t="inlineStr">
        <is>
          <t>DR Congo</t>
        </is>
      </c>
      <c r="G49" t="n">
        <v>90</v>
      </c>
      <c r="X49">
        <f>IF(E49="","",ABS(E49-F49))</f>
        <v/>
      </c>
      <c r="Y49">
        <f>IF(E49="","",IF(E49&gt;F49,C49,IF(F49&gt;E49,D49,"Draw")))</f>
        <v/>
      </c>
    </row>
    <row r="50">
      <c r="A50" s="4" t="n">
        <v>46197</v>
      </c>
      <c r="B50" t="inlineStr">
        <is>
          <t>Group</t>
        </is>
      </c>
      <c r="C50" t="inlineStr">
        <is>
          <t>Switzerland</t>
        </is>
      </c>
      <c r="D50" t="inlineStr">
        <is>
          <t>Canada</t>
        </is>
      </c>
      <c r="G50" t="n">
        <v>90</v>
      </c>
      <c r="X50">
        <f>IF(E50="","",ABS(E50-F50))</f>
        <v/>
      </c>
      <c r="Y50">
        <f>IF(E50="","",IF(E50&gt;F50,C50,IF(F50&gt;E50,D50,"Draw")))</f>
        <v/>
      </c>
    </row>
    <row r="51">
      <c r="A51" s="4" t="n">
        <v>46197</v>
      </c>
      <c r="B51" t="inlineStr">
        <is>
          <t>Group</t>
        </is>
      </c>
      <c r="C51" t="inlineStr">
        <is>
          <t>Bosnia and Herzegovina</t>
        </is>
      </c>
      <c r="D51" t="inlineStr">
        <is>
          <t>Qatar</t>
        </is>
      </c>
      <c r="G51" t="n">
        <v>90</v>
      </c>
      <c r="X51">
        <f>IF(E51="","",ABS(E51-F51))</f>
        <v/>
      </c>
      <c r="Y51">
        <f>IF(E51="","",IF(E51&gt;F51,C51,IF(F51&gt;E51,D51,"Draw")))</f>
        <v/>
      </c>
    </row>
    <row r="52">
      <c r="A52" s="4" t="n">
        <v>46197</v>
      </c>
      <c r="B52" t="inlineStr">
        <is>
          <t>Group</t>
        </is>
      </c>
      <c r="C52" t="inlineStr">
        <is>
          <t>Morocco</t>
        </is>
      </c>
      <c r="D52" t="inlineStr">
        <is>
          <t>Haiti</t>
        </is>
      </c>
      <c r="G52" t="n">
        <v>90</v>
      </c>
      <c r="X52">
        <f>IF(E52="","",ABS(E52-F52))</f>
        <v/>
      </c>
      <c r="Y52">
        <f>IF(E52="","",IF(E52&gt;F52,C52,IF(F52&gt;E52,D52,"Draw")))</f>
        <v/>
      </c>
    </row>
    <row r="53">
      <c r="A53" s="4" t="n">
        <v>46197</v>
      </c>
      <c r="B53" t="inlineStr">
        <is>
          <t>Group</t>
        </is>
      </c>
      <c r="C53" t="inlineStr">
        <is>
          <t>Scotland</t>
        </is>
      </c>
      <c r="D53" t="inlineStr">
        <is>
          <t>Brazil</t>
        </is>
      </c>
      <c r="G53" t="n">
        <v>90</v>
      </c>
      <c r="X53">
        <f>IF(E53="","",ABS(E53-F53))</f>
        <v/>
      </c>
      <c r="Y53">
        <f>IF(E53="","",IF(E53&gt;F53,C53,IF(F53&gt;E53,D53,"Draw")))</f>
        <v/>
      </c>
    </row>
    <row r="54">
      <c r="A54" s="4" t="n">
        <v>46198</v>
      </c>
      <c r="B54" t="inlineStr">
        <is>
          <t>Group</t>
        </is>
      </c>
      <c r="C54" t="inlineStr">
        <is>
          <t>South Africa</t>
        </is>
      </c>
      <c r="D54" t="inlineStr">
        <is>
          <t>Korea Republic</t>
        </is>
      </c>
      <c r="G54" t="n">
        <v>90</v>
      </c>
      <c r="X54">
        <f>IF(E54="","",ABS(E54-F54))</f>
        <v/>
      </c>
      <c r="Y54">
        <f>IF(E54="","",IF(E54&gt;F54,C54,IF(F54&gt;E54,D54,"Draw")))</f>
        <v/>
      </c>
    </row>
    <row r="55">
      <c r="A55" s="4" t="n">
        <v>46198</v>
      </c>
      <c r="B55" t="inlineStr">
        <is>
          <t>Group</t>
        </is>
      </c>
      <c r="C55" t="inlineStr">
        <is>
          <t>Czechia</t>
        </is>
      </c>
      <c r="D55" t="inlineStr">
        <is>
          <t>Mexico</t>
        </is>
      </c>
      <c r="G55" t="n">
        <v>90</v>
      </c>
      <c r="X55">
        <f>IF(E55="","",ABS(E55-F55))</f>
        <v/>
      </c>
      <c r="Y55">
        <f>IF(E55="","",IF(E55&gt;F55,C55,IF(F55&gt;E55,D55,"Draw")))</f>
        <v/>
      </c>
    </row>
    <row r="56">
      <c r="A56" s="4" t="n">
        <v>46198</v>
      </c>
      <c r="B56" t="inlineStr">
        <is>
          <t>Group</t>
        </is>
      </c>
      <c r="C56" t="inlineStr">
        <is>
          <t>Curaçao</t>
        </is>
      </c>
      <c r="D56" t="inlineStr">
        <is>
          <t>Côte d'Ivoire</t>
        </is>
      </c>
      <c r="G56" t="n">
        <v>90</v>
      </c>
      <c r="X56">
        <f>IF(E56="","",ABS(E56-F56))</f>
        <v/>
      </c>
      <c r="Y56">
        <f>IF(E56="","",IF(E56&gt;F56,C56,IF(F56&gt;E56,D56,"Draw")))</f>
        <v/>
      </c>
    </row>
    <row r="57">
      <c r="A57" s="4" t="n">
        <v>46198</v>
      </c>
      <c r="B57" t="inlineStr">
        <is>
          <t>Group</t>
        </is>
      </c>
      <c r="C57" t="inlineStr">
        <is>
          <t>Ecuador</t>
        </is>
      </c>
      <c r="D57" t="inlineStr">
        <is>
          <t>Germany</t>
        </is>
      </c>
      <c r="G57" t="n">
        <v>90</v>
      </c>
      <c r="X57">
        <f>IF(E57="","",ABS(E57-F57))</f>
        <v/>
      </c>
      <c r="Y57">
        <f>IF(E57="","",IF(E57&gt;F57,C57,IF(F57&gt;E57,D57,"Draw")))</f>
        <v/>
      </c>
    </row>
    <row r="58">
      <c r="A58" s="4" t="n">
        <v>46199</v>
      </c>
      <c r="B58" t="inlineStr">
        <is>
          <t>Group</t>
        </is>
      </c>
      <c r="C58" t="inlineStr">
        <is>
          <t>Tunisia</t>
        </is>
      </c>
      <c r="D58" t="inlineStr">
        <is>
          <t>Netherlands</t>
        </is>
      </c>
      <c r="G58" t="n">
        <v>90</v>
      </c>
      <c r="X58">
        <f>IF(E58="","",ABS(E58-F58))</f>
        <v/>
      </c>
      <c r="Y58">
        <f>IF(E58="","",IF(E58&gt;F58,C58,IF(F58&gt;E58,D58,"Draw")))</f>
        <v/>
      </c>
    </row>
    <row r="59">
      <c r="A59" s="4" t="n">
        <v>46199</v>
      </c>
      <c r="B59" t="inlineStr">
        <is>
          <t>Group</t>
        </is>
      </c>
      <c r="C59" t="inlineStr">
        <is>
          <t>Japan</t>
        </is>
      </c>
      <c r="D59" t="inlineStr">
        <is>
          <t>Sweden</t>
        </is>
      </c>
      <c r="G59" t="n">
        <v>90</v>
      </c>
      <c r="X59">
        <f>IF(E59="","",ABS(E59-F59))</f>
        <v/>
      </c>
      <c r="Y59">
        <f>IF(E59="","",IF(E59&gt;F59,C59,IF(F59&gt;E59,D59,"Draw")))</f>
        <v/>
      </c>
    </row>
    <row r="60">
      <c r="A60" s="4" t="n">
        <v>46199</v>
      </c>
      <c r="B60" t="inlineStr">
        <is>
          <t>Group</t>
        </is>
      </c>
      <c r="C60" t="inlineStr">
        <is>
          <t>Türkiye</t>
        </is>
      </c>
      <c r="D60" t="inlineStr">
        <is>
          <t>USA</t>
        </is>
      </c>
      <c r="G60" t="n">
        <v>90</v>
      </c>
      <c r="X60">
        <f>IF(E60="","",ABS(E60-F60))</f>
        <v/>
      </c>
      <c r="Y60">
        <f>IF(E60="","",IF(E60&gt;F60,C60,IF(F60&gt;E60,D60,"Draw")))</f>
        <v/>
      </c>
    </row>
    <row r="61">
      <c r="A61" s="4" t="n">
        <v>46199</v>
      </c>
      <c r="B61" t="inlineStr">
        <is>
          <t>Group</t>
        </is>
      </c>
      <c r="C61" t="inlineStr">
        <is>
          <t>Paraguay</t>
        </is>
      </c>
      <c r="D61" t="inlineStr">
        <is>
          <t>Australia</t>
        </is>
      </c>
      <c r="G61" t="n">
        <v>90</v>
      </c>
      <c r="X61">
        <f>IF(E61="","",ABS(E61-F61))</f>
        <v/>
      </c>
      <c r="Y61">
        <f>IF(E61="","",IF(E61&gt;F61,C61,IF(F61&gt;E61,D61,"Draw")))</f>
        <v/>
      </c>
    </row>
    <row r="62">
      <c r="A62" s="4" t="n">
        <v>46199</v>
      </c>
      <c r="B62" t="inlineStr">
        <is>
          <t>Group</t>
        </is>
      </c>
      <c r="C62" t="inlineStr">
        <is>
          <t>Norway</t>
        </is>
      </c>
      <c r="D62" t="inlineStr">
        <is>
          <t>France</t>
        </is>
      </c>
      <c r="G62" t="n">
        <v>90</v>
      </c>
      <c r="X62">
        <f>IF(E62="","",ABS(E62-F62))</f>
        <v/>
      </c>
      <c r="Y62">
        <f>IF(E62="","",IF(E62&gt;F62,C62,IF(F62&gt;E62,D62,"Draw")))</f>
        <v/>
      </c>
    </row>
    <row r="63">
      <c r="A63" s="4" t="n">
        <v>46199</v>
      </c>
      <c r="B63" t="inlineStr">
        <is>
          <t>Group</t>
        </is>
      </c>
      <c r="C63" t="inlineStr">
        <is>
          <t>Senegal</t>
        </is>
      </c>
      <c r="D63" t="inlineStr">
        <is>
          <t>Iraq</t>
        </is>
      </c>
      <c r="G63" t="n">
        <v>90</v>
      </c>
      <c r="X63">
        <f>IF(E63="","",ABS(E63-F63))</f>
        <v/>
      </c>
      <c r="Y63">
        <f>IF(E63="","",IF(E63&gt;F63,C63,IF(F63&gt;E63,D63,"Draw")))</f>
        <v/>
      </c>
    </row>
    <row r="64">
      <c r="A64" s="4" t="n">
        <v>46200</v>
      </c>
      <c r="B64" t="inlineStr">
        <is>
          <t>Group</t>
        </is>
      </c>
      <c r="C64" t="inlineStr">
        <is>
          <t>Cabo Verde</t>
        </is>
      </c>
      <c r="D64" t="inlineStr">
        <is>
          <t>Saudi Arabia</t>
        </is>
      </c>
      <c r="G64" t="n">
        <v>90</v>
      </c>
      <c r="X64">
        <f>IF(E64="","",ABS(E64-F64))</f>
        <v/>
      </c>
      <c r="Y64">
        <f>IF(E64="","",IF(E64&gt;F64,C64,IF(F64&gt;E64,D64,"Draw")))</f>
        <v/>
      </c>
    </row>
    <row r="65">
      <c r="A65" s="4" t="n">
        <v>46200</v>
      </c>
      <c r="B65" t="inlineStr">
        <is>
          <t>Group</t>
        </is>
      </c>
      <c r="C65" t="inlineStr">
        <is>
          <t>Uruguay</t>
        </is>
      </c>
      <c r="D65" t="inlineStr">
        <is>
          <t>Spain</t>
        </is>
      </c>
      <c r="G65" t="n">
        <v>90</v>
      </c>
      <c r="X65">
        <f>IF(E65="","",ABS(E65-F65))</f>
        <v/>
      </c>
      <c r="Y65">
        <f>IF(E65="","",IF(E65&gt;F65,C65,IF(F65&gt;E65,D65,"Draw")))</f>
        <v/>
      </c>
    </row>
    <row r="66">
      <c r="A66" s="4" t="n">
        <v>46200</v>
      </c>
      <c r="B66" t="inlineStr">
        <is>
          <t>Group</t>
        </is>
      </c>
      <c r="C66" t="inlineStr">
        <is>
          <t>New Zealand</t>
        </is>
      </c>
      <c r="D66" t="inlineStr">
        <is>
          <t>Belgium</t>
        </is>
      </c>
      <c r="G66" t="n">
        <v>90</v>
      </c>
      <c r="X66">
        <f>IF(E66="","",ABS(E66-F66))</f>
        <v/>
      </c>
      <c r="Y66">
        <f>IF(E66="","",IF(E66&gt;F66,C66,IF(F66&gt;E66,D66,"Draw")))</f>
        <v/>
      </c>
    </row>
    <row r="67">
      <c r="A67" s="4" t="n">
        <v>46200</v>
      </c>
      <c r="B67" t="inlineStr">
        <is>
          <t>Group</t>
        </is>
      </c>
      <c r="C67" t="inlineStr">
        <is>
          <t>Egypt</t>
        </is>
      </c>
      <c r="D67" t="inlineStr">
        <is>
          <t>IR Iran</t>
        </is>
      </c>
      <c r="G67" t="n">
        <v>90</v>
      </c>
      <c r="X67">
        <f>IF(E67="","",ABS(E67-F67))</f>
        <v/>
      </c>
      <c r="Y67">
        <f>IF(E67="","",IF(E67&gt;F67,C67,IF(F67&gt;E67,D67,"Draw")))</f>
        <v/>
      </c>
    </row>
    <row r="68">
      <c r="A68" s="4" t="n">
        <v>46200</v>
      </c>
      <c r="B68" t="inlineStr">
        <is>
          <t>Group</t>
        </is>
      </c>
      <c r="C68" t="inlineStr">
        <is>
          <t>Panama</t>
        </is>
      </c>
      <c r="D68" t="inlineStr">
        <is>
          <t>England</t>
        </is>
      </c>
      <c r="G68" t="n">
        <v>90</v>
      </c>
      <c r="X68">
        <f>IF(E68="","",ABS(E68-F68))</f>
        <v/>
      </c>
      <c r="Y68">
        <f>IF(E68="","",IF(E68&gt;F68,C68,IF(F68&gt;E68,D68,"Draw")))</f>
        <v/>
      </c>
    </row>
    <row r="69">
      <c r="A69" s="4" t="n">
        <v>46200</v>
      </c>
      <c r="B69" t="inlineStr">
        <is>
          <t>Group</t>
        </is>
      </c>
      <c r="C69" t="inlineStr">
        <is>
          <t>Croatia</t>
        </is>
      </c>
      <c r="D69" t="inlineStr">
        <is>
          <t>Ghana</t>
        </is>
      </c>
      <c r="G69" t="n">
        <v>90</v>
      </c>
      <c r="X69">
        <f>IF(E69="","",ABS(E69-F69))</f>
        <v/>
      </c>
      <c r="Y69">
        <f>IF(E69="","",IF(E69&gt;F69,C69,IF(F69&gt;E69,D69,"Draw")))</f>
        <v/>
      </c>
    </row>
    <row r="70">
      <c r="A70" s="4" t="n">
        <v>46201</v>
      </c>
      <c r="B70" t="inlineStr">
        <is>
          <t>Group</t>
        </is>
      </c>
      <c r="C70" t="inlineStr">
        <is>
          <t>Colombia</t>
        </is>
      </c>
      <c r="D70" t="inlineStr">
        <is>
          <t>Portugal</t>
        </is>
      </c>
      <c r="G70" t="n">
        <v>90</v>
      </c>
      <c r="X70">
        <f>IF(E70="","",ABS(E70-F70))</f>
        <v/>
      </c>
      <c r="Y70">
        <f>IF(E70="","",IF(E70&gt;F70,C70,IF(F70&gt;E70,D70,"Draw")))</f>
        <v/>
      </c>
    </row>
    <row r="71">
      <c r="A71" s="4" t="n">
        <v>46201</v>
      </c>
      <c r="B71" t="inlineStr">
        <is>
          <t>Group</t>
        </is>
      </c>
      <c r="C71" t="inlineStr">
        <is>
          <t>DR Congo</t>
        </is>
      </c>
      <c r="D71" t="inlineStr">
        <is>
          <t>Uzbekistan</t>
        </is>
      </c>
      <c r="G71" t="n">
        <v>90</v>
      </c>
      <c r="X71">
        <f>IF(E71="","",ABS(E71-F71))</f>
        <v/>
      </c>
      <c r="Y71">
        <f>IF(E71="","",IF(E71&gt;F71,C71,IF(F71&gt;E71,D71,"Draw")))</f>
        <v/>
      </c>
    </row>
    <row r="72">
      <c r="A72" s="4" t="n">
        <v>46201</v>
      </c>
      <c r="B72" t="inlineStr">
        <is>
          <t>Group</t>
        </is>
      </c>
      <c r="C72" t="inlineStr">
        <is>
          <t>Algeria</t>
        </is>
      </c>
      <c r="D72" t="inlineStr">
        <is>
          <t>Austria</t>
        </is>
      </c>
      <c r="G72" t="n">
        <v>90</v>
      </c>
      <c r="X72">
        <f>IF(E72="","",ABS(E72-F72))</f>
        <v/>
      </c>
      <c r="Y72">
        <f>IF(E72="","",IF(E72&gt;F72,C72,IF(F72&gt;E72,D72,"Draw")))</f>
        <v/>
      </c>
    </row>
    <row r="73">
      <c r="A73" s="4" t="n">
        <v>46201</v>
      </c>
      <c r="B73" t="inlineStr">
        <is>
          <t>Group</t>
        </is>
      </c>
      <c r="C73" t="inlineStr">
        <is>
          <t>Jordan</t>
        </is>
      </c>
      <c r="D73" t="inlineStr">
        <is>
          <t>Argentina</t>
        </is>
      </c>
      <c r="G73" t="n">
        <v>90</v>
      </c>
      <c r="X73">
        <f>IF(E73="","",ABS(E73-F73))</f>
        <v/>
      </c>
      <c r="Y73">
        <f>IF(E73="","",IF(E73&gt;F73,C73,IF(F73&gt;E73,D73,"Draw")))</f>
        <v/>
      </c>
    </row>
    <row r="74">
      <c r="A74" s="4" t="n">
        <v>46201</v>
      </c>
      <c r="B74" t="inlineStr">
        <is>
          <t>Round of 32</t>
        </is>
      </c>
      <c r="C74" s="5" t="inlineStr">
        <is>
          <t>TBD</t>
        </is>
      </c>
      <c r="D74" s="5" t="inlineStr">
        <is>
          <t>TBD</t>
        </is>
      </c>
      <c r="X74">
        <f>IF(E74="","",ABS(E74-F74))</f>
        <v/>
      </c>
      <c r="Y74">
        <f>IF(E74="","",IF(E74&gt;F74,C74,IF(F74&gt;E74,D74,"Draw")))</f>
        <v/>
      </c>
    </row>
    <row r="75">
      <c r="A75" s="4" t="n">
        <v>46202</v>
      </c>
      <c r="B75" t="inlineStr">
        <is>
          <t>Round of 32</t>
        </is>
      </c>
      <c r="C75" s="5" t="inlineStr">
        <is>
          <t>TBD</t>
        </is>
      </c>
      <c r="D75" s="5" t="inlineStr">
        <is>
          <t>TBD</t>
        </is>
      </c>
      <c r="X75">
        <f>IF(E75="","",ABS(E75-F75))</f>
        <v/>
      </c>
      <c r="Y75">
        <f>IF(E75="","",IF(E75&gt;F75,C75,IF(F75&gt;E75,D75,"Draw")))</f>
        <v/>
      </c>
    </row>
    <row r="76">
      <c r="A76" s="4" t="n">
        <v>46202</v>
      </c>
      <c r="B76" t="inlineStr">
        <is>
          <t>Round of 32</t>
        </is>
      </c>
      <c r="C76" s="5" t="inlineStr">
        <is>
          <t>TBD</t>
        </is>
      </c>
      <c r="D76" s="5" t="inlineStr">
        <is>
          <t>TBD</t>
        </is>
      </c>
      <c r="X76">
        <f>IF(E76="","",ABS(E76-F76))</f>
        <v/>
      </c>
      <c r="Y76">
        <f>IF(E76="","",IF(E76&gt;F76,C76,IF(F76&gt;E76,D76,"Draw")))</f>
        <v/>
      </c>
    </row>
    <row r="77">
      <c r="A77" s="4" t="n">
        <v>46203</v>
      </c>
      <c r="B77" t="inlineStr">
        <is>
          <t>Round of 32</t>
        </is>
      </c>
      <c r="C77" s="5" t="inlineStr">
        <is>
          <t>TBD</t>
        </is>
      </c>
      <c r="D77" s="5" t="inlineStr">
        <is>
          <t>TBD</t>
        </is>
      </c>
      <c r="X77">
        <f>IF(E77="","",ABS(E77-F77))</f>
        <v/>
      </c>
      <c r="Y77">
        <f>IF(E77="","",IF(E77&gt;F77,C77,IF(F77&gt;E77,D77,"Draw")))</f>
        <v/>
      </c>
    </row>
    <row r="78">
      <c r="A78" s="4" t="n">
        <v>46203</v>
      </c>
      <c r="B78" t="inlineStr">
        <is>
          <t>Round of 32</t>
        </is>
      </c>
      <c r="C78" s="5" t="inlineStr">
        <is>
          <t>TBD</t>
        </is>
      </c>
      <c r="D78" s="5" t="inlineStr">
        <is>
          <t>TBD</t>
        </is>
      </c>
      <c r="X78">
        <f>IF(E78="","",ABS(E78-F78))</f>
        <v/>
      </c>
      <c r="Y78">
        <f>IF(E78="","",IF(E78&gt;F78,C78,IF(F78&gt;E78,D78,"Draw")))</f>
        <v/>
      </c>
    </row>
    <row r="79">
      <c r="A79" s="4" t="n">
        <v>46203</v>
      </c>
      <c r="B79" t="inlineStr">
        <is>
          <t>Round of 32</t>
        </is>
      </c>
      <c r="C79" s="5" t="inlineStr">
        <is>
          <t>TBD</t>
        </is>
      </c>
      <c r="D79" s="5" t="inlineStr">
        <is>
          <t>TBD</t>
        </is>
      </c>
      <c r="X79">
        <f>IF(E79="","",ABS(E79-F79))</f>
        <v/>
      </c>
      <c r="Y79">
        <f>IF(E79="","",IF(E79&gt;F79,C79,IF(F79&gt;E79,D79,"Draw")))</f>
        <v/>
      </c>
    </row>
    <row r="80">
      <c r="A80" s="4" t="n">
        <v>46204</v>
      </c>
      <c r="B80" t="inlineStr">
        <is>
          <t>Round of 32</t>
        </is>
      </c>
      <c r="C80" s="5" t="inlineStr">
        <is>
          <t>TBD</t>
        </is>
      </c>
      <c r="D80" s="5" t="inlineStr">
        <is>
          <t>TBD</t>
        </is>
      </c>
      <c r="X80">
        <f>IF(E80="","",ABS(E80-F80))</f>
        <v/>
      </c>
      <c r="Y80">
        <f>IF(E80="","",IF(E80&gt;F80,C80,IF(F80&gt;E80,D80,"Draw")))</f>
        <v/>
      </c>
    </row>
    <row r="81">
      <c r="A81" s="4" t="n">
        <v>46204</v>
      </c>
      <c r="B81" t="inlineStr">
        <is>
          <t>Round of 32</t>
        </is>
      </c>
      <c r="C81" s="5" t="inlineStr">
        <is>
          <t>TBD</t>
        </is>
      </c>
      <c r="D81" s="5" t="inlineStr">
        <is>
          <t>TBD</t>
        </is>
      </c>
      <c r="X81">
        <f>IF(E81="","",ABS(E81-F81))</f>
        <v/>
      </c>
      <c r="Y81">
        <f>IF(E81="","",IF(E81&gt;F81,C81,IF(F81&gt;E81,D81,"Draw")))</f>
        <v/>
      </c>
    </row>
    <row r="82">
      <c r="A82" s="4" t="n">
        <v>46204</v>
      </c>
      <c r="B82" t="inlineStr">
        <is>
          <t>Round of 32</t>
        </is>
      </c>
      <c r="C82" s="5" t="inlineStr">
        <is>
          <t>TBD</t>
        </is>
      </c>
      <c r="D82" s="5" t="inlineStr">
        <is>
          <t>TBD</t>
        </is>
      </c>
      <c r="X82">
        <f>IF(E82="","",ABS(E82-F82))</f>
        <v/>
      </c>
      <c r="Y82">
        <f>IF(E82="","",IF(E82&gt;F82,C82,IF(F82&gt;E82,D82,"Draw")))</f>
        <v/>
      </c>
    </row>
    <row r="83">
      <c r="A83" s="4" t="n">
        <v>46205</v>
      </c>
      <c r="B83" t="inlineStr">
        <is>
          <t>Round of 32</t>
        </is>
      </c>
      <c r="C83" s="5" t="inlineStr">
        <is>
          <t>TBD</t>
        </is>
      </c>
      <c r="D83" s="5" t="inlineStr">
        <is>
          <t>TBD</t>
        </is>
      </c>
      <c r="X83">
        <f>IF(E83="","",ABS(E83-F83))</f>
        <v/>
      </c>
      <c r="Y83">
        <f>IF(E83="","",IF(E83&gt;F83,C83,IF(F83&gt;E83,D83,"Draw")))</f>
        <v/>
      </c>
    </row>
    <row r="84">
      <c r="A84" s="4" t="n">
        <v>46205</v>
      </c>
      <c r="B84" t="inlineStr">
        <is>
          <t>Round of 32</t>
        </is>
      </c>
      <c r="C84" s="5" t="inlineStr">
        <is>
          <t>TBD</t>
        </is>
      </c>
      <c r="D84" s="5" t="inlineStr">
        <is>
          <t>TBD</t>
        </is>
      </c>
      <c r="X84">
        <f>IF(E84="","",ABS(E84-F84))</f>
        <v/>
      </c>
      <c r="Y84">
        <f>IF(E84="","",IF(E84&gt;F84,C84,IF(F84&gt;E84,D84,"Draw")))</f>
        <v/>
      </c>
    </row>
    <row r="85">
      <c r="A85" s="4" t="n">
        <v>46206</v>
      </c>
      <c r="B85" t="inlineStr">
        <is>
          <t>Round of 32</t>
        </is>
      </c>
      <c r="C85" s="5" t="inlineStr">
        <is>
          <t>TBD</t>
        </is>
      </c>
      <c r="D85" s="5" t="inlineStr">
        <is>
          <t>TBD</t>
        </is>
      </c>
      <c r="X85">
        <f>IF(E85="","",ABS(E85-F85))</f>
        <v/>
      </c>
      <c r="Y85">
        <f>IF(E85="","",IF(E85&gt;F85,C85,IF(F85&gt;E85,D85,"Draw")))</f>
        <v/>
      </c>
    </row>
    <row r="86">
      <c r="A86" s="4" t="n">
        <v>46206</v>
      </c>
      <c r="B86" t="inlineStr">
        <is>
          <t>Round of 32</t>
        </is>
      </c>
      <c r="C86" s="5" t="inlineStr">
        <is>
          <t>TBD</t>
        </is>
      </c>
      <c r="D86" s="5" t="inlineStr">
        <is>
          <t>TBD</t>
        </is>
      </c>
      <c r="X86">
        <f>IF(E86="","",ABS(E86-F86))</f>
        <v/>
      </c>
      <c r="Y86">
        <f>IF(E86="","",IF(E86&gt;F86,C86,IF(F86&gt;E86,D86,"Draw")))</f>
        <v/>
      </c>
    </row>
    <row r="87">
      <c r="A87" s="4" t="n">
        <v>46206</v>
      </c>
      <c r="B87" t="inlineStr">
        <is>
          <t>Round of 32</t>
        </is>
      </c>
      <c r="C87" s="5" t="inlineStr">
        <is>
          <t>TBD</t>
        </is>
      </c>
      <c r="D87" s="5" t="inlineStr">
        <is>
          <t>TBD</t>
        </is>
      </c>
      <c r="X87">
        <f>IF(E87="","",ABS(E87-F87))</f>
        <v/>
      </c>
      <c r="Y87">
        <f>IF(E87="","",IF(E87&gt;F87,C87,IF(F87&gt;E87,D87,"Draw")))</f>
        <v/>
      </c>
    </row>
    <row r="88">
      <c r="A88" s="4" t="n">
        <v>46206</v>
      </c>
      <c r="B88" t="inlineStr">
        <is>
          <t>Round of 32</t>
        </is>
      </c>
      <c r="C88" s="5" t="inlineStr">
        <is>
          <t>TBD</t>
        </is>
      </c>
      <c r="D88" s="5" t="inlineStr">
        <is>
          <t>TBD</t>
        </is>
      </c>
      <c r="X88">
        <f>IF(E88="","",ABS(E88-F88))</f>
        <v/>
      </c>
      <c r="Y88">
        <f>IF(E88="","",IF(E88&gt;F88,C88,IF(F88&gt;E88,D88,"Draw")))</f>
        <v/>
      </c>
    </row>
    <row r="89">
      <c r="A89" s="4" t="n">
        <v>46207</v>
      </c>
      <c r="B89" t="inlineStr">
        <is>
          <t>Round of 32</t>
        </is>
      </c>
      <c r="C89" s="5" t="inlineStr">
        <is>
          <t>TBD</t>
        </is>
      </c>
      <c r="D89" s="5" t="inlineStr">
        <is>
          <t>TBD</t>
        </is>
      </c>
      <c r="X89">
        <f>IF(E89="","",ABS(E89-F89))</f>
        <v/>
      </c>
      <c r="Y89">
        <f>IF(E89="","",IF(E89&gt;F89,C89,IF(F89&gt;E89,D89,"Draw")))</f>
        <v/>
      </c>
    </row>
    <row r="90">
      <c r="A90" s="4" t="n">
        <v>46207</v>
      </c>
      <c r="B90" t="inlineStr">
        <is>
          <t>Round of 16</t>
        </is>
      </c>
      <c r="C90" s="5" t="inlineStr">
        <is>
          <t>TBD</t>
        </is>
      </c>
      <c r="D90" s="5" t="inlineStr">
        <is>
          <t>TBD</t>
        </is>
      </c>
      <c r="X90">
        <f>IF(E90="","",ABS(E90-F90))</f>
        <v/>
      </c>
      <c r="Y90">
        <f>IF(E90="","",IF(E90&gt;F90,C90,IF(F90&gt;E90,D90,"Draw")))</f>
        <v/>
      </c>
    </row>
    <row r="91">
      <c r="A91" s="4" t="n">
        <v>46207</v>
      </c>
      <c r="B91" t="inlineStr">
        <is>
          <t>Round of 16</t>
        </is>
      </c>
      <c r="C91" s="5" t="inlineStr">
        <is>
          <t>TBD</t>
        </is>
      </c>
      <c r="D91" s="5" t="inlineStr">
        <is>
          <t>TBD</t>
        </is>
      </c>
      <c r="X91">
        <f>IF(E91="","",ABS(E91-F91))</f>
        <v/>
      </c>
      <c r="Y91">
        <f>IF(E91="","",IF(E91&gt;F91,C91,IF(F91&gt;E91,D91,"Draw")))</f>
        <v/>
      </c>
    </row>
    <row r="92">
      <c r="A92" s="4" t="n">
        <v>46208</v>
      </c>
      <c r="B92" t="inlineStr">
        <is>
          <t>Round of 16</t>
        </is>
      </c>
      <c r="C92" s="5" t="inlineStr">
        <is>
          <t>TBD</t>
        </is>
      </c>
      <c r="D92" s="5" t="inlineStr">
        <is>
          <t>TBD</t>
        </is>
      </c>
      <c r="X92">
        <f>IF(E92="","",ABS(E92-F92))</f>
        <v/>
      </c>
      <c r="Y92">
        <f>IF(E92="","",IF(E92&gt;F92,C92,IF(F92&gt;E92,D92,"Draw")))</f>
        <v/>
      </c>
    </row>
    <row r="93">
      <c r="A93" s="4" t="n">
        <v>46209</v>
      </c>
      <c r="B93" t="inlineStr">
        <is>
          <t>Round of 16</t>
        </is>
      </c>
      <c r="C93" s="5" t="inlineStr">
        <is>
          <t>TBD</t>
        </is>
      </c>
      <c r="D93" s="5" t="inlineStr">
        <is>
          <t>TBD</t>
        </is>
      </c>
      <c r="X93">
        <f>IF(E93="","",ABS(E93-F93))</f>
        <v/>
      </c>
      <c r="Y93">
        <f>IF(E93="","",IF(E93&gt;F93,C93,IF(F93&gt;E93,D93,"Draw")))</f>
        <v/>
      </c>
    </row>
    <row r="94">
      <c r="A94" s="4" t="n">
        <v>46209</v>
      </c>
      <c r="B94" t="inlineStr">
        <is>
          <t>Round of 16</t>
        </is>
      </c>
      <c r="C94" s="5" t="inlineStr">
        <is>
          <t>TBD</t>
        </is>
      </c>
      <c r="D94" s="5" t="inlineStr">
        <is>
          <t>TBD</t>
        </is>
      </c>
      <c r="X94">
        <f>IF(E94="","",ABS(E94-F94))</f>
        <v/>
      </c>
      <c r="Y94">
        <f>IF(E94="","",IF(E94&gt;F94,C94,IF(F94&gt;E94,D94,"Draw")))</f>
        <v/>
      </c>
    </row>
    <row r="95">
      <c r="A95" s="4" t="n">
        <v>46210</v>
      </c>
      <c r="B95" t="inlineStr">
        <is>
          <t>Round of 16</t>
        </is>
      </c>
      <c r="C95" s="5" t="inlineStr">
        <is>
          <t>TBD</t>
        </is>
      </c>
      <c r="D95" s="5" t="inlineStr">
        <is>
          <t>TBD</t>
        </is>
      </c>
      <c r="X95">
        <f>IF(E95="","",ABS(E95-F95))</f>
        <v/>
      </c>
      <c r="Y95">
        <f>IF(E95="","",IF(E95&gt;F95,C95,IF(F95&gt;E95,D95,"Draw")))</f>
        <v/>
      </c>
    </row>
    <row r="96">
      <c r="A96" s="4" t="n">
        <v>46210</v>
      </c>
      <c r="B96" t="inlineStr">
        <is>
          <t>Round of 16</t>
        </is>
      </c>
      <c r="C96" s="5" t="inlineStr">
        <is>
          <t>TBD</t>
        </is>
      </c>
      <c r="D96" s="5" t="inlineStr">
        <is>
          <t>TBD</t>
        </is>
      </c>
      <c r="X96">
        <f>IF(E96="","",ABS(E96-F96))</f>
        <v/>
      </c>
      <c r="Y96">
        <f>IF(E96="","",IF(E96&gt;F96,C96,IF(F96&gt;E96,D96,"Draw")))</f>
        <v/>
      </c>
    </row>
    <row r="97">
      <c r="A97" s="4" t="n">
        <v>46210</v>
      </c>
      <c r="B97" t="inlineStr">
        <is>
          <t>Round of 16</t>
        </is>
      </c>
      <c r="C97" s="5" t="inlineStr">
        <is>
          <t>TBD</t>
        </is>
      </c>
      <c r="D97" s="5" t="inlineStr">
        <is>
          <t>TBD</t>
        </is>
      </c>
      <c r="X97">
        <f>IF(E97="","",ABS(E97-F97))</f>
        <v/>
      </c>
      <c r="Y97">
        <f>IF(E97="","",IF(E97&gt;F97,C97,IF(F97&gt;E97,D97,"Draw")))</f>
        <v/>
      </c>
    </row>
    <row r="98">
      <c r="A98" s="4" t="n">
        <v>46212</v>
      </c>
      <c r="B98" t="inlineStr">
        <is>
          <t>Quarter Finals</t>
        </is>
      </c>
      <c r="C98" s="5" t="inlineStr">
        <is>
          <t>TBD</t>
        </is>
      </c>
      <c r="D98" s="5" t="inlineStr">
        <is>
          <t>TBD</t>
        </is>
      </c>
      <c r="X98">
        <f>IF(E98="","",ABS(E98-F98))</f>
        <v/>
      </c>
      <c r="Y98">
        <f>IF(E98="","",IF(E98&gt;F98,C98,IF(F98&gt;E98,D98,"Draw")))</f>
        <v/>
      </c>
    </row>
    <row r="99">
      <c r="A99" s="4" t="n">
        <v>46213</v>
      </c>
      <c r="B99" t="inlineStr">
        <is>
          <t>Quarter Finals</t>
        </is>
      </c>
      <c r="C99" s="5" t="inlineStr">
        <is>
          <t>TBD</t>
        </is>
      </c>
      <c r="D99" s="5" t="inlineStr">
        <is>
          <t>TBD</t>
        </is>
      </c>
      <c r="X99">
        <f>IF(E99="","",ABS(E99-F99))</f>
        <v/>
      </c>
      <c r="Y99">
        <f>IF(E99="","",IF(E99&gt;F99,C99,IF(F99&gt;E99,D99,"Draw")))</f>
        <v/>
      </c>
    </row>
    <row r="100">
      <c r="A100" s="4" t="n">
        <v>46214</v>
      </c>
      <c r="B100" t="inlineStr">
        <is>
          <t>Quarter Finals</t>
        </is>
      </c>
      <c r="C100" s="5" t="inlineStr">
        <is>
          <t>TBD</t>
        </is>
      </c>
      <c r="D100" s="5" t="inlineStr">
        <is>
          <t>TBD</t>
        </is>
      </c>
      <c r="X100">
        <f>IF(E100="","",ABS(E100-F100))</f>
        <v/>
      </c>
      <c r="Y100">
        <f>IF(E100="","",IF(E100&gt;F100,C100,IF(F100&gt;E100,D100,"Draw")))</f>
        <v/>
      </c>
    </row>
    <row r="101">
      <c r="A101" s="4" t="n">
        <v>46215</v>
      </c>
      <c r="B101" t="inlineStr">
        <is>
          <t>Quarter Finals</t>
        </is>
      </c>
      <c r="C101" s="5" t="inlineStr">
        <is>
          <t>TBD</t>
        </is>
      </c>
      <c r="D101" s="5" t="inlineStr">
        <is>
          <t>TBD</t>
        </is>
      </c>
      <c r="X101">
        <f>IF(E101="","",ABS(E101-F101))</f>
        <v/>
      </c>
      <c r="Y101">
        <f>IF(E101="","",IF(E101&gt;F101,C101,IF(F101&gt;E101,D101,"Draw")))</f>
        <v/>
      </c>
    </row>
    <row r="102">
      <c r="A102" s="4" t="n">
        <v>46217</v>
      </c>
      <c r="B102" t="inlineStr">
        <is>
          <t>Semi Finals</t>
        </is>
      </c>
      <c r="C102" s="5" t="inlineStr">
        <is>
          <t>TBD</t>
        </is>
      </c>
      <c r="D102" s="5" t="inlineStr">
        <is>
          <t>TBD</t>
        </is>
      </c>
      <c r="X102">
        <f>IF(E102="","",ABS(E102-F102))</f>
        <v/>
      </c>
      <c r="Y102">
        <f>IF(E102="","",IF(E102&gt;F102,C102,IF(F102&gt;E102,D102,"Draw")))</f>
        <v/>
      </c>
    </row>
    <row r="103">
      <c r="A103" s="4" t="n">
        <v>46218</v>
      </c>
      <c r="B103" t="inlineStr">
        <is>
          <t>Semi Finals</t>
        </is>
      </c>
      <c r="C103" s="5" t="inlineStr">
        <is>
          <t>TBD</t>
        </is>
      </c>
      <c r="D103" s="5" t="inlineStr">
        <is>
          <t>TBD</t>
        </is>
      </c>
      <c r="X103">
        <f>IF(E103="","",ABS(E103-F103))</f>
        <v/>
      </c>
      <c r="Y103">
        <f>IF(E103="","",IF(E103&gt;F103,C103,IF(F103&gt;E103,D103,"Draw")))</f>
        <v/>
      </c>
    </row>
    <row r="104">
      <c r="A104" s="4" t="n">
        <v>46221</v>
      </c>
      <c r="B104" t="inlineStr">
        <is>
          <t>Third Place Play-Off</t>
        </is>
      </c>
      <c r="C104" s="5" t="inlineStr">
        <is>
          <t>TBD</t>
        </is>
      </c>
      <c r="D104" s="5" t="inlineStr">
        <is>
          <t>TBD</t>
        </is>
      </c>
      <c r="X104">
        <f>IF(E104="","",ABS(E104-F104))</f>
        <v/>
      </c>
      <c r="Y104">
        <f>IF(E104="","",IF(E104&gt;F104,C104,IF(F104&gt;E104,D104,"Draw")))</f>
        <v/>
      </c>
    </row>
    <row r="105">
      <c r="A105" s="4" t="n">
        <v>46222</v>
      </c>
      <c r="B105" t="inlineStr">
        <is>
          <t>Final</t>
        </is>
      </c>
      <c r="C105" s="5" t="inlineStr">
        <is>
          <t>TBD</t>
        </is>
      </c>
      <c r="D105" s="5" t="inlineStr">
        <is>
          <t>TBD</t>
        </is>
      </c>
      <c r="X105">
        <f>IF(E105="","",ABS(E105-F105))</f>
        <v/>
      </c>
      <c r="Y105">
        <f>IF(E105="","",IF(E105&gt;F105,C105,IF(F105&gt;E105,D105,"Draw")))</f>
        <v/>
      </c>
    </row>
    <row r="106">
      <c r="X106">
        <f>IF(E106="","",ABS(E106-F106))</f>
        <v/>
      </c>
      <c r="Y106">
        <f>IF(E106="","",IF(E106&gt;F106,C106,IF(F106&gt;E106,D106,"Draw")))</f>
        <v/>
      </c>
    </row>
    <row r="107">
      <c r="X107">
        <f>IF(E107="","",ABS(E107-F107))</f>
        <v/>
      </c>
      <c r="Y107">
        <f>IF(E107="","",IF(E107&gt;F107,C107,IF(F107&gt;E107,D107,"Draw")))</f>
        <v/>
      </c>
    </row>
    <row r="108">
      <c r="X108">
        <f>IF(E108="","",ABS(E108-F108))</f>
        <v/>
      </c>
      <c r="Y108">
        <f>IF(E108="","",IF(E108&gt;F108,C108,IF(F108&gt;E108,D108,"Draw")))</f>
        <v/>
      </c>
    </row>
    <row r="109">
      <c r="X109">
        <f>IF(E109="","",ABS(E109-F109))</f>
        <v/>
      </c>
      <c r="Y109">
        <f>IF(E109="","",IF(E109&gt;F109,C109,IF(F109&gt;E109,D109,"Draw")))</f>
        <v/>
      </c>
    </row>
    <row r="110">
      <c r="X110">
        <f>IF(E110="","",ABS(E110-F110))</f>
        <v/>
      </c>
      <c r="Y110">
        <f>IF(E110="","",IF(E110&gt;F110,C110,IF(F110&gt;E110,D110,"Draw")))</f>
        <v/>
      </c>
    </row>
    <row r="111">
      <c r="X111">
        <f>IF(E111="","",ABS(E111-F111))</f>
        <v/>
      </c>
      <c r="Y111">
        <f>IF(E111="","",IF(E111&gt;F111,C111,IF(F111&gt;E111,D111,"Draw")))</f>
        <v/>
      </c>
    </row>
    <row r="112">
      <c r="X112">
        <f>IF(E112="","",ABS(E112-F112))</f>
        <v/>
      </c>
      <c r="Y112">
        <f>IF(E112="","",IF(E112&gt;F112,C112,IF(F112&gt;E112,D112,"Draw")))</f>
        <v/>
      </c>
    </row>
    <row r="113">
      <c r="X113">
        <f>IF(E113="","",ABS(E113-F113))</f>
        <v/>
      </c>
      <c r="Y113">
        <f>IF(E113="","",IF(E113&gt;F113,C113,IF(F113&gt;E113,D113,"Draw")))</f>
        <v/>
      </c>
    </row>
    <row r="114">
      <c r="X114">
        <f>IF(E114="","",ABS(E114-F114))</f>
        <v/>
      </c>
      <c r="Y114">
        <f>IF(E114="","",IF(E114&gt;F114,C114,IF(F114&gt;E114,D114,"Draw")))</f>
        <v/>
      </c>
    </row>
    <row r="115">
      <c r="X115">
        <f>IF(E115="","",ABS(E115-F115))</f>
        <v/>
      </c>
      <c r="Y115">
        <f>IF(E115="","",IF(E115&gt;F115,C115,IF(F115&gt;E115,D115,"Draw")))</f>
        <v/>
      </c>
    </row>
    <row r="116">
      <c r="X116">
        <f>IF(E116="","",ABS(E116-F116))</f>
        <v/>
      </c>
      <c r="Y116">
        <f>IF(E116="","",IF(E116&gt;F116,C116,IF(F116&gt;E116,D116,"Draw")))</f>
        <v/>
      </c>
    </row>
    <row r="117">
      <c r="X117">
        <f>IF(E117="","",ABS(E117-F117))</f>
        <v/>
      </c>
      <c r="Y117">
        <f>IF(E117="","",IF(E117&gt;F117,C117,IF(F117&gt;E117,D117,"Draw")))</f>
        <v/>
      </c>
    </row>
    <row r="118">
      <c r="X118">
        <f>IF(E118="","",ABS(E118-F118))</f>
        <v/>
      </c>
      <c r="Y118">
        <f>IF(E118="","",IF(E118&gt;F118,C118,IF(F118&gt;E118,D118,"Draw")))</f>
        <v/>
      </c>
    </row>
    <row r="119">
      <c r="X119">
        <f>IF(E119="","",ABS(E119-F119))</f>
        <v/>
      </c>
      <c r="Y119">
        <f>IF(E119="","",IF(E119&gt;F119,C119,IF(F119&gt;E119,D119,"Draw")))</f>
        <v/>
      </c>
    </row>
    <row r="120">
      <c r="X120">
        <f>IF(E120="","",ABS(E120-F120))</f>
        <v/>
      </c>
      <c r="Y120">
        <f>IF(E120="","",IF(E120&gt;F120,C120,IF(F120&gt;E120,D120,"Draw")))</f>
        <v/>
      </c>
    </row>
    <row r="121">
      <c r="X121">
        <f>IF(E121="","",ABS(E121-F121))</f>
        <v/>
      </c>
      <c r="Y121">
        <f>IF(E121="","",IF(E121&gt;F121,C121,IF(F121&gt;E121,D121,"Draw")))</f>
        <v/>
      </c>
    </row>
    <row r="122">
      <c r="X122">
        <f>IF(E122="","",ABS(E122-F122))</f>
        <v/>
      </c>
      <c r="Y122">
        <f>IF(E122="","",IF(E122&gt;F122,C122,IF(F122&gt;E122,D122,"Draw")))</f>
        <v/>
      </c>
    </row>
    <row r="123">
      <c r="X123">
        <f>IF(E123="","",ABS(E123-F123))</f>
        <v/>
      </c>
      <c r="Y123">
        <f>IF(E123="","",IF(E123&gt;F123,C123,IF(F123&gt;E123,D123,"Draw")))</f>
        <v/>
      </c>
    </row>
    <row r="124">
      <c r="X124">
        <f>IF(E124="","",ABS(E124-F124))</f>
        <v/>
      </c>
      <c r="Y124">
        <f>IF(E124="","",IF(E124&gt;F124,C124,IF(F124&gt;E124,D124,"Draw")))</f>
        <v/>
      </c>
    </row>
    <row r="125">
      <c r="X125">
        <f>IF(E125="","",ABS(E125-F125))</f>
        <v/>
      </c>
      <c r="Y125">
        <f>IF(E125="","",IF(E125&gt;F125,C125,IF(F125&gt;E125,D125,"Draw")))</f>
        <v/>
      </c>
    </row>
    <row r="126">
      <c r="X126">
        <f>IF(E126="","",ABS(E126-F126))</f>
        <v/>
      </c>
      <c r="Y126">
        <f>IF(E126="","",IF(E126&gt;F126,C126,IF(F126&gt;E126,D126,"Draw")))</f>
        <v/>
      </c>
    </row>
    <row r="127">
      <c r="X127">
        <f>IF(E127="","",ABS(E127-F127))</f>
        <v/>
      </c>
      <c r="Y127">
        <f>IF(E127="","",IF(E127&gt;F127,C127,IF(F127&gt;E127,D127,"Draw")))</f>
        <v/>
      </c>
    </row>
    <row r="128">
      <c r="X128">
        <f>IF(E128="","",ABS(E128-F128))</f>
        <v/>
      </c>
      <c r="Y128">
        <f>IF(E128="","",IF(E128&gt;F128,C128,IF(F128&gt;E128,D128,"Draw")))</f>
        <v/>
      </c>
    </row>
    <row r="129">
      <c r="X129">
        <f>IF(E129="","",ABS(E129-F129))</f>
        <v/>
      </c>
      <c r="Y129">
        <f>IF(E129="","",IF(E129&gt;F129,C129,IF(F129&gt;E129,D129,"Draw")))</f>
        <v/>
      </c>
    </row>
    <row r="130">
      <c r="X130">
        <f>IF(E130="","",ABS(E130-F130))</f>
        <v/>
      </c>
      <c r="Y130">
        <f>IF(E130="","",IF(E130&gt;F130,C130,IF(F130&gt;E130,D130,"Draw")))</f>
        <v/>
      </c>
    </row>
    <row r="131">
      <c r="X131">
        <f>IF(E131="","",ABS(E131-F131))</f>
        <v/>
      </c>
      <c r="Y131">
        <f>IF(E131="","",IF(E131&gt;F131,C131,IF(F131&gt;E131,D131,"Draw")))</f>
        <v/>
      </c>
    </row>
    <row r="132">
      <c r="X132">
        <f>IF(E132="","",ABS(E132-F132))</f>
        <v/>
      </c>
      <c r="Y132">
        <f>IF(E132="","",IF(E132&gt;F132,C132,IF(F132&gt;E132,D132,"Draw")))</f>
        <v/>
      </c>
    </row>
    <row r="133">
      <c r="X133">
        <f>IF(E133="","",ABS(E133-F133))</f>
        <v/>
      </c>
      <c r="Y133">
        <f>IF(E133="","",IF(E133&gt;F133,C133,IF(F133&gt;E133,D133,"Draw")))</f>
        <v/>
      </c>
    </row>
    <row r="134">
      <c r="X134">
        <f>IF(E134="","",ABS(E134-F134))</f>
        <v/>
      </c>
      <c r="Y134">
        <f>IF(E134="","",IF(E134&gt;F134,C134,IF(F134&gt;E134,D134,"Draw")))</f>
        <v/>
      </c>
    </row>
    <row r="135">
      <c r="X135">
        <f>IF(E135="","",ABS(E135-F135))</f>
        <v/>
      </c>
      <c r="Y135">
        <f>IF(E135="","",IF(E135&gt;F135,C135,IF(F135&gt;E135,D135,"Draw")))</f>
        <v/>
      </c>
    </row>
    <row r="136">
      <c r="X136">
        <f>IF(E136="","",ABS(E136-F136))</f>
        <v/>
      </c>
      <c r="Y136">
        <f>IF(E136="","",IF(E136&gt;F136,C136,IF(F136&gt;E136,D136,"Draw")))</f>
        <v/>
      </c>
    </row>
    <row r="137">
      <c r="X137">
        <f>IF(E137="","",ABS(E137-F137))</f>
        <v/>
      </c>
      <c r="Y137">
        <f>IF(E137="","",IF(E137&gt;F137,C137,IF(F137&gt;E137,D137,"Draw")))</f>
        <v/>
      </c>
    </row>
    <row r="138">
      <c r="X138">
        <f>IF(E138="","",ABS(E138-F138))</f>
        <v/>
      </c>
      <c r="Y138">
        <f>IF(E138="","",IF(E138&gt;F138,C138,IF(F138&gt;E138,D138,"Draw")))</f>
        <v/>
      </c>
    </row>
    <row r="139">
      <c r="X139">
        <f>IF(E139="","",ABS(E139-F139))</f>
        <v/>
      </c>
      <c r="Y139">
        <f>IF(E139="","",IF(E139&gt;F139,C139,IF(F139&gt;E139,D139,"Draw")))</f>
        <v/>
      </c>
    </row>
    <row r="140">
      <c r="X140">
        <f>IF(E140="","",ABS(E140-F140))</f>
        <v/>
      </c>
      <c r="Y140">
        <f>IF(E140="","",IF(E140&gt;F140,C140,IF(F140&gt;E140,D140,"Draw")))</f>
        <v/>
      </c>
    </row>
    <row r="141">
      <c r="X141">
        <f>IF(E141="","",ABS(E141-F141))</f>
        <v/>
      </c>
      <c r="Y141">
        <f>IF(E141="","",IF(E141&gt;F141,C141,IF(F141&gt;E141,D141,"Draw")))</f>
        <v/>
      </c>
    </row>
    <row r="142">
      <c r="X142">
        <f>IF(E142="","",ABS(E142-F142))</f>
        <v/>
      </c>
      <c r="Y142">
        <f>IF(E142="","",IF(E142&gt;F142,C142,IF(F142&gt;E142,D142,"Draw")))</f>
        <v/>
      </c>
    </row>
    <row r="143">
      <c r="X143">
        <f>IF(E143="","",ABS(E143-F143))</f>
        <v/>
      </c>
      <c r="Y143">
        <f>IF(E143="","",IF(E143&gt;F143,C143,IF(F143&gt;E143,D143,"Draw")))</f>
        <v/>
      </c>
    </row>
    <row r="144">
      <c r="X144">
        <f>IF(E144="","",ABS(E144-F144))</f>
        <v/>
      </c>
      <c r="Y144">
        <f>IF(E144="","",IF(E144&gt;F144,C144,IF(F144&gt;E144,D144,"Draw")))</f>
        <v/>
      </c>
    </row>
    <row r="145">
      <c r="X145">
        <f>IF(E145="","",ABS(E145-F145))</f>
        <v/>
      </c>
      <c r="Y145">
        <f>IF(E145="","",IF(E145&gt;F145,C145,IF(F145&gt;E145,D145,"Draw")))</f>
        <v/>
      </c>
    </row>
    <row r="146">
      <c r="X146">
        <f>IF(E146="","",ABS(E146-F146))</f>
        <v/>
      </c>
      <c r="Y146">
        <f>IF(E146="","",IF(E146&gt;F146,C146,IF(F146&gt;E146,D146,"Draw")))</f>
        <v/>
      </c>
    </row>
    <row r="147">
      <c r="X147">
        <f>IF(E147="","",ABS(E147-F147))</f>
        <v/>
      </c>
      <c r="Y147">
        <f>IF(E147="","",IF(E147&gt;F147,C147,IF(F147&gt;E147,D147,"Draw")))</f>
        <v/>
      </c>
    </row>
    <row r="148">
      <c r="X148">
        <f>IF(E148="","",ABS(E148-F148))</f>
        <v/>
      </c>
      <c r="Y148">
        <f>IF(E148="","",IF(E148&gt;F148,C148,IF(F148&gt;E148,D148,"Draw")))</f>
        <v/>
      </c>
    </row>
    <row r="149">
      <c r="X149">
        <f>IF(E149="","",ABS(E149-F149))</f>
        <v/>
      </c>
      <c r="Y149">
        <f>IF(E149="","",IF(E149&gt;F149,C149,IF(F149&gt;E149,D149,"Draw")))</f>
        <v/>
      </c>
    </row>
    <row r="150">
      <c r="X150">
        <f>IF(E150="","",ABS(E150-F150))</f>
        <v/>
      </c>
      <c r="Y150">
        <f>IF(E150="","",IF(E150&gt;F150,C150,IF(F150&gt;E150,D150,"Draw")))</f>
        <v/>
      </c>
    </row>
    <row r="151">
      <c r="X151">
        <f>IF(E151="","",ABS(E151-F151))</f>
        <v/>
      </c>
      <c r="Y151">
        <f>IF(E151="","",IF(E151&gt;F151,C151,IF(F151&gt;E151,D151,"Draw")))</f>
        <v/>
      </c>
    </row>
    <row r="152">
      <c r="X152">
        <f>IF(E152="","",ABS(E152-F152))</f>
        <v/>
      </c>
      <c r="Y152">
        <f>IF(E152="","",IF(E152&gt;F152,C152,IF(F152&gt;E152,D152,"Draw")))</f>
        <v/>
      </c>
    </row>
    <row r="153">
      <c r="X153">
        <f>IF(E153="","",ABS(E153-F153))</f>
        <v/>
      </c>
      <c r="Y153">
        <f>IF(E153="","",IF(E153&gt;F153,C153,IF(F153&gt;E153,D153,"Draw")))</f>
        <v/>
      </c>
    </row>
    <row r="154">
      <c r="X154">
        <f>IF(E154="","",ABS(E154-F154))</f>
        <v/>
      </c>
      <c r="Y154">
        <f>IF(E154="","",IF(E154&gt;F154,C154,IF(F154&gt;E154,D154,"Draw")))</f>
        <v/>
      </c>
    </row>
    <row r="155">
      <c r="X155">
        <f>IF(E155="","",ABS(E155-F155))</f>
        <v/>
      </c>
      <c r="Y155">
        <f>IF(E155="","",IF(E155&gt;F155,C155,IF(F155&gt;E155,D155,"Draw")))</f>
        <v/>
      </c>
    </row>
    <row r="156">
      <c r="X156">
        <f>IF(E156="","",ABS(E156-F156))</f>
        <v/>
      </c>
      <c r="Y156">
        <f>IF(E156="","",IF(E156&gt;F156,C156,IF(F156&gt;E156,D156,"Draw")))</f>
        <v/>
      </c>
    </row>
    <row r="157">
      <c r="X157">
        <f>IF(E157="","",ABS(E157-F157))</f>
        <v/>
      </c>
      <c r="Y157">
        <f>IF(E157="","",IF(E157&gt;F157,C157,IF(F157&gt;E157,D157,"Draw")))</f>
        <v/>
      </c>
    </row>
    <row r="158">
      <c r="X158">
        <f>IF(E158="","",ABS(E158-F158))</f>
        <v/>
      </c>
      <c r="Y158">
        <f>IF(E158="","",IF(E158&gt;F158,C158,IF(F158&gt;E158,D158,"Draw")))</f>
        <v/>
      </c>
    </row>
    <row r="159">
      <c r="X159">
        <f>IF(E159="","",ABS(E159-F159))</f>
        <v/>
      </c>
      <c r="Y159">
        <f>IF(E159="","",IF(E159&gt;F159,C159,IF(F159&gt;E159,D159,"Draw")))</f>
        <v/>
      </c>
    </row>
    <row r="160">
      <c r="X160">
        <f>IF(E160="","",ABS(E160-F160))</f>
        <v/>
      </c>
      <c r="Y160">
        <f>IF(E160="","",IF(E160&gt;F160,C160,IF(F160&gt;E160,D160,"Draw")))</f>
        <v/>
      </c>
    </row>
    <row r="161">
      <c r="X161">
        <f>IF(E161="","",ABS(E161-F161))</f>
        <v/>
      </c>
      <c r="Y161">
        <f>IF(E161="","",IF(E161&gt;F161,C161,IF(F161&gt;E161,D161,"Draw")))</f>
        <v/>
      </c>
    </row>
    <row r="162">
      <c r="X162">
        <f>IF(E162="","",ABS(E162-F162))</f>
        <v/>
      </c>
      <c r="Y162">
        <f>IF(E162="","",IF(E162&gt;F162,C162,IF(F162&gt;E162,D162,"Draw")))</f>
        <v/>
      </c>
    </row>
    <row r="163">
      <c r="X163">
        <f>IF(E163="","",ABS(E163-F163))</f>
        <v/>
      </c>
      <c r="Y163">
        <f>IF(E163="","",IF(E163&gt;F163,C163,IF(F163&gt;E163,D163,"Draw")))</f>
        <v/>
      </c>
    </row>
    <row r="164">
      <c r="X164">
        <f>IF(E164="","",ABS(E164-F164))</f>
        <v/>
      </c>
      <c r="Y164">
        <f>IF(E164="","",IF(E164&gt;F164,C164,IF(F164&gt;E164,D164,"Draw")))</f>
        <v/>
      </c>
    </row>
    <row r="165">
      <c r="X165">
        <f>IF(E165="","",ABS(E165-F165))</f>
        <v/>
      </c>
      <c r="Y165">
        <f>IF(E165="","",IF(E165&gt;F165,C165,IF(F165&gt;E165,D165,"Draw")))</f>
        <v/>
      </c>
    </row>
    <row r="166">
      <c r="X166">
        <f>IF(E166="","",ABS(E166-F166))</f>
        <v/>
      </c>
      <c r="Y166">
        <f>IF(E166="","",IF(E166&gt;F166,C166,IF(F166&gt;E166,D166,"Draw")))</f>
        <v/>
      </c>
    </row>
    <row r="167">
      <c r="X167">
        <f>IF(E167="","",ABS(E167-F167))</f>
        <v/>
      </c>
      <c r="Y167">
        <f>IF(E167="","",IF(E167&gt;F167,C167,IF(F167&gt;E167,D167,"Draw")))</f>
        <v/>
      </c>
    </row>
    <row r="168">
      <c r="X168">
        <f>IF(E168="","",ABS(E168-F168))</f>
        <v/>
      </c>
      <c r="Y168">
        <f>IF(E168="","",IF(E168&gt;F168,C168,IF(F168&gt;E168,D168,"Draw")))</f>
        <v/>
      </c>
    </row>
    <row r="169">
      <c r="X169">
        <f>IF(E169="","",ABS(E169-F169))</f>
        <v/>
      </c>
      <c r="Y169">
        <f>IF(E169="","",IF(E169&gt;F169,C169,IF(F169&gt;E169,D169,"Draw")))</f>
        <v/>
      </c>
    </row>
    <row r="170">
      <c r="X170">
        <f>IF(E170="","",ABS(E170-F170))</f>
        <v/>
      </c>
      <c r="Y170">
        <f>IF(E170="","",IF(E170&gt;F170,C170,IF(F170&gt;E170,D170,"Draw")))</f>
        <v/>
      </c>
    </row>
    <row r="171">
      <c r="X171">
        <f>IF(E171="","",ABS(E171-F171))</f>
        <v/>
      </c>
      <c r="Y171">
        <f>IF(E171="","",IF(E171&gt;F171,C171,IF(F171&gt;E171,D171,"Draw")))</f>
        <v/>
      </c>
    </row>
    <row r="172">
      <c r="X172">
        <f>IF(E172="","",ABS(E172-F172))</f>
        <v/>
      </c>
      <c r="Y172">
        <f>IF(E172="","",IF(E172&gt;F172,C172,IF(F172&gt;E172,D172,"Draw")))</f>
        <v/>
      </c>
    </row>
    <row r="173">
      <c r="X173">
        <f>IF(E173="","",ABS(E173-F173))</f>
        <v/>
      </c>
      <c r="Y173">
        <f>IF(E173="","",IF(E173&gt;F173,C173,IF(F173&gt;E173,D173,"Draw")))</f>
        <v/>
      </c>
    </row>
    <row r="174">
      <c r="X174">
        <f>IF(E174="","",ABS(E174-F174))</f>
        <v/>
      </c>
      <c r="Y174">
        <f>IF(E174="","",IF(E174&gt;F174,C174,IF(F174&gt;E174,D174,"Draw")))</f>
        <v/>
      </c>
    </row>
    <row r="175">
      <c r="X175">
        <f>IF(E175="","",ABS(E175-F175))</f>
        <v/>
      </c>
      <c r="Y175">
        <f>IF(E175="","",IF(E175&gt;F175,C175,IF(F175&gt;E175,D175,"Draw")))</f>
        <v/>
      </c>
    </row>
    <row r="176">
      <c r="X176">
        <f>IF(E176="","",ABS(E176-F176))</f>
        <v/>
      </c>
      <c r="Y176">
        <f>IF(E176="","",IF(E176&gt;F176,C176,IF(F176&gt;E176,D176,"Draw")))</f>
        <v/>
      </c>
    </row>
    <row r="177">
      <c r="X177">
        <f>IF(E177="","",ABS(E177-F177))</f>
        <v/>
      </c>
      <c r="Y177">
        <f>IF(E177="","",IF(E177&gt;F177,C177,IF(F177&gt;E177,D177,"Draw")))</f>
        <v/>
      </c>
    </row>
    <row r="178">
      <c r="X178">
        <f>IF(E178="","",ABS(E178-F178))</f>
        <v/>
      </c>
      <c r="Y178">
        <f>IF(E178="","",IF(E178&gt;F178,C178,IF(F178&gt;E178,D178,"Draw")))</f>
        <v/>
      </c>
    </row>
    <row r="179">
      <c r="X179">
        <f>IF(E179="","",ABS(E179-F179))</f>
        <v/>
      </c>
      <c r="Y179">
        <f>IF(E179="","",IF(E179&gt;F179,C179,IF(F179&gt;E179,D179,"Draw")))</f>
        <v/>
      </c>
    </row>
    <row r="180">
      <c r="X180">
        <f>IF(E180="","",ABS(E180-F180))</f>
        <v/>
      </c>
      <c r="Y180">
        <f>IF(E180="","",IF(E180&gt;F180,C180,IF(F180&gt;E180,D180,"Draw")))</f>
        <v/>
      </c>
    </row>
    <row r="181">
      <c r="X181">
        <f>IF(E181="","",ABS(E181-F181))</f>
        <v/>
      </c>
      <c r="Y181">
        <f>IF(E181="","",IF(E181&gt;F181,C181,IF(F181&gt;E181,D181,"Draw")))</f>
        <v/>
      </c>
    </row>
    <row r="182">
      <c r="X182">
        <f>IF(E182="","",ABS(E182-F182))</f>
        <v/>
      </c>
      <c r="Y182">
        <f>IF(E182="","",IF(E182&gt;F182,C182,IF(F182&gt;E182,D182,"Draw")))</f>
        <v/>
      </c>
    </row>
    <row r="183">
      <c r="X183">
        <f>IF(E183="","",ABS(E183-F183))</f>
        <v/>
      </c>
      <c r="Y183">
        <f>IF(E183="","",IF(E183&gt;F183,C183,IF(F183&gt;E183,D183,"Draw")))</f>
        <v/>
      </c>
    </row>
    <row r="184">
      <c r="X184">
        <f>IF(E184="","",ABS(E184-F184))</f>
        <v/>
      </c>
      <c r="Y184">
        <f>IF(E184="","",IF(E184&gt;F184,C184,IF(F184&gt;E184,D184,"Draw")))</f>
        <v/>
      </c>
    </row>
    <row r="185">
      <c r="X185">
        <f>IF(E185="","",ABS(E185-F185))</f>
        <v/>
      </c>
      <c r="Y185">
        <f>IF(E185="","",IF(E185&gt;F185,C185,IF(F185&gt;E185,D185,"Draw")))</f>
        <v/>
      </c>
    </row>
    <row r="186">
      <c r="X186">
        <f>IF(E186="","",ABS(E186-F186))</f>
        <v/>
      </c>
      <c r="Y186">
        <f>IF(E186="","",IF(E186&gt;F186,C186,IF(F186&gt;E186,D186,"Draw")))</f>
        <v/>
      </c>
    </row>
    <row r="187">
      <c r="X187">
        <f>IF(E187="","",ABS(E187-F187))</f>
        <v/>
      </c>
      <c r="Y187">
        <f>IF(E187="","",IF(E187&gt;F187,C187,IF(F187&gt;E187,D187,"Draw")))</f>
        <v/>
      </c>
    </row>
    <row r="188">
      <c r="X188">
        <f>IF(E188="","",ABS(E188-F188))</f>
        <v/>
      </c>
      <c r="Y188">
        <f>IF(E188="","",IF(E188&gt;F188,C188,IF(F188&gt;E188,D188,"Draw")))</f>
        <v/>
      </c>
    </row>
    <row r="189">
      <c r="X189">
        <f>IF(E189="","",ABS(E189-F189))</f>
        <v/>
      </c>
      <c r="Y189">
        <f>IF(E189="","",IF(E189&gt;F189,C189,IF(F189&gt;E189,D189,"Draw")))</f>
        <v/>
      </c>
    </row>
    <row r="190">
      <c r="X190">
        <f>IF(E190="","",ABS(E190-F190))</f>
        <v/>
      </c>
      <c r="Y190">
        <f>IF(E190="","",IF(E190&gt;F190,C190,IF(F190&gt;E190,D190,"Draw")))</f>
        <v/>
      </c>
    </row>
    <row r="191">
      <c r="X191">
        <f>IF(E191="","",ABS(E191-F191))</f>
        <v/>
      </c>
      <c r="Y191">
        <f>IF(E191="","",IF(E191&gt;F191,C191,IF(F191&gt;E191,D191,"Draw")))</f>
        <v/>
      </c>
    </row>
    <row r="192">
      <c r="X192">
        <f>IF(E192="","",ABS(E192-F192))</f>
        <v/>
      </c>
      <c r="Y192">
        <f>IF(E192="","",IF(E192&gt;F192,C192,IF(F192&gt;E192,D192,"Draw")))</f>
        <v/>
      </c>
    </row>
    <row r="193">
      <c r="X193">
        <f>IF(E193="","",ABS(E193-F193))</f>
        <v/>
      </c>
      <c r="Y193">
        <f>IF(E193="","",IF(E193&gt;F193,C193,IF(F193&gt;E193,D193,"Draw")))</f>
        <v/>
      </c>
    </row>
    <row r="194">
      <c r="X194">
        <f>IF(E194="","",ABS(E194-F194))</f>
        <v/>
      </c>
      <c r="Y194">
        <f>IF(E194="","",IF(E194&gt;F194,C194,IF(F194&gt;E194,D194,"Draw")))</f>
        <v/>
      </c>
    </row>
    <row r="195">
      <c r="X195">
        <f>IF(E195="","",ABS(E195-F195))</f>
        <v/>
      </c>
      <c r="Y195">
        <f>IF(E195="","",IF(E195&gt;F195,C195,IF(F195&gt;E195,D195,"Draw")))</f>
        <v/>
      </c>
    </row>
    <row r="196">
      <c r="X196">
        <f>IF(E196="","",ABS(E196-F196))</f>
        <v/>
      </c>
      <c r="Y196">
        <f>IF(E196="","",IF(E196&gt;F196,C196,IF(F196&gt;E196,D196,"Draw")))</f>
        <v/>
      </c>
    </row>
    <row r="197">
      <c r="X197">
        <f>IF(E197="","",ABS(E197-F197))</f>
        <v/>
      </c>
      <c r="Y197">
        <f>IF(E197="","",IF(E197&gt;F197,C197,IF(F197&gt;E197,D197,"Draw")))</f>
        <v/>
      </c>
    </row>
    <row r="198">
      <c r="X198">
        <f>IF(E198="","",ABS(E198-F198))</f>
        <v/>
      </c>
      <c r="Y198">
        <f>IF(E198="","",IF(E198&gt;F198,C198,IF(F198&gt;E198,D198,"Draw")))</f>
        <v/>
      </c>
    </row>
    <row r="199">
      <c r="X199">
        <f>IF(E199="","",ABS(E199-F199))</f>
        <v/>
      </c>
      <c r="Y199">
        <f>IF(E199="","",IF(E199&gt;F199,C199,IF(F199&gt;E199,D199,"Draw")))</f>
        <v/>
      </c>
    </row>
    <row r="200">
      <c r="X200">
        <f>IF(E200="","",ABS(E200-F200))</f>
        <v/>
      </c>
      <c r="Y200">
        <f>IF(E200="","",IF(E200&gt;F200,C200,IF(F200&gt;E200,D200,"Draw")))</f>
        <v/>
      </c>
    </row>
    <row r="201">
      <c r="X201">
        <f>IF(E201="","",ABS(E201-F201))</f>
        <v/>
      </c>
      <c r="Y201">
        <f>IF(E201="","",IF(E201&gt;F201,C201,IF(F201&gt;E201,D201,"Draw")))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bestFit="1" customWidth="1" min="1" max="2"/>
    <col width="6" bestFit="1" customWidth="1" min="3" max="3"/>
    <col width="8" bestFit="1" customWidth="1" min="4" max="4"/>
    <col width="6" bestFit="1" customWidth="1" min="5" max="6"/>
    <col width="8" bestFit="1" customWidth="1" min="7" max="7"/>
    <col width="10" bestFit="1" customWidth="1" min="8" max="8"/>
    <col width="8" bestFit="1" customWidth="1" min="9" max="9"/>
    <col width="10" bestFit="1" customWidth="1" min="10" max="10"/>
    <col width="12" bestFit="1" customWidth="1" min="11" max="11"/>
    <col width="8" bestFit="1" customWidth="1" min="12" max="12"/>
    <col width="10" bestFit="1" customWidth="1" min="13" max="13"/>
    <col width="8" bestFit="1" customWidth="1" min="14" max="14"/>
    <col width="6" bestFit="1" customWidth="1" min="15" max="15"/>
    <col width="10" bestFit="1" customWidth="1" min="16" max="18"/>
    <col width="12" bestFit="1" customWidth="1" min="19" max="19"/>
    <col width="10" bestFit="1" customWidth="1" min="20" max="20"/>
    <col width="12" bestFit="1" customWidth="1" min="21" max="21"/>
  </cols>
  <sheetData>
    <row r="1">
      <c r="A1" s="2" t="inlineStr">
        <is>
          <t>Team</t>
        </is>
      </c>
      <c r="B1" s="2" t="inlineStr">
        <is>
          <t>Entrant</t>
        </is>
      </c>
      <c r="C1" s="2" t="inlineStr">
        <is>
          <t>MP</t>
        </is>
      </c>
      <c r="D1" s="2" t="inlineStr">
        <is>
          <t>Mins</t>
        </is>
      </c>
      <c r="E1" s="2" t="inlineStr">
        <is>
          <t>GF</t>
        </is>
      </c>
      <c r="F1" s="2" t="inlineStr">
        <is>
          <t>GA</t>
        </is>
      </c>
      <c r="G1" s="2" t="inlineStr">
        <is>
          <t>Shots</t>
        </is>
      </c>
      <c r="H1" s="2" t="inlineStr">
        <is>
          <t>Shots/90</t>
        </is>
      </c>
      <c r="I1" s="2" t="inlineStr">
        <is>
          <t>SoT</t>
        </is>
      </c>
      <c r="J1" s="2" t="inlineStr">
        <is>
          <t>SoT/90</t>
        </is>
      </c>
      <c r="K1" s="2" t="inlineStr">
        <is>
          <t>Avg Poss %</t>
        </is>
      </c>
      <c r="L1" s="2" t="inlineStr">
        <is>
          <t>Fouls</t>
        </is>
      </c>
      <c r="M1" s="2" t="inlineStr">
        <is>
          <t>Fouls/90</t>
        </is>
      </c>
      <c r="N1" s="2" t="inlineStr">
        <is>
          <t>Yellow</t>
        </is>
      </c>
      <c r="O1" s="2" t="inlineStr">
        <is>
          <t>Red</t>
        </is>
      </c>
      <c r="P1" s="2" t="inlineStr">
        <is>
          <t>Card Pts</t>
        </is>
      </c>
      <c r="Q1" s="2" t="inlineStr">
        <is>
          <t>Cards/90</t>
        </is>
      </c>
      <c r="R1" s="2" t="inlineStr">
        <is>
          <t>Offsides</t>
        </is>
      </c>
      <c r="S1" s="2" t="inlineStr">
        <is>
          <t>Offsides/90</t>
        </is>
      </c>
      <c r="T1" s="2" t="inlineStr">
        <is>
          <t>Corners</t>
        </is>
      </c>
      <c r="U1" s="2" t="inlineStr">
        <is>
          <t>Corners/90</t>
        </is>
      </c>
      <c r="V1" t="inlineStr">
        <is>
          <t>Goal Diff</t>
        </is>
      </c>
    </row>
    <row r="2">
      <c r="A2">
        <f>Participants!B2</f>
        <v/>
      </c>
      <c r="B2">
        <f>Participants!C2</f>
        <v/>
      </c>
      <c r="C2">
        <f>COUNTIFS('Match Data'!C:C,A2,'Match Data'!E:E,"&gt;=0")+COUNTIFS('Match Data'!D:D,A2,'Match Data'!F:F,"&gt;=0")</f>
        <v/>
      </c>
      <c r="D2">
        <f>SUMIF('Match Data'!C:C,A2,'Match Data'!G:G)+SUMIF('Match Data'!D:D,A2,'Match Data'!G:G)</f>
        <v/>
      </c>
      <c r="E2">
        <f>SUMIF('Match Data'!C:C,A2,'Match Data'!E:E)+SUMIF('Match Data'!D:D,A2,'Match Data'!F:F)</f>
        <v/>
      </c>
      <c r="F2">
        <f>SUMIF('Match Data'!C:C,A2,'Match Data'!F:F)+SUMIF('Match Data'!D:D,A2,'Match Data'!E:E)</f>
        <v/>
      </c>
      <c r="G2">
        <f>SUMIF('Match Data'!C:C,A2,'Match Data'!H:H)+SUMIF('Match Data'!D:D,A2,'Match Data'!I:I)</f>
        <v/>
      </c>
      <c r="H2" s="3">
        <f>IF(D2=0,0,G2/D2*90)</f>
        <v/>
      </c>
      <c r="I2">
        <f>SUMIF('Match Data'!C:C,A2,'Match Data'!J:J)+SUMIF('Match Data'!D:D,A2,'Match Data'!K:K)</f>
        <v/>
      </c>
      <c r="J2" s="3">
        <f>IF(D2=0,0,I2/D2*90)</f>
        <v/>
      </c>
      <c r="K2" s="3">
        <f>IF(C2=0,0,(SUMIF('Match Data'!C:C,A2,'Match Data'!L:L)+SUMIF('Match Data'!D:D,A2,'Match Data'!M:M))/C2)</f>
        <v/>
      </c>
      <c r="L2">
        <f>SUMIF('Match Data'!C:C,A2,'Match Data'!N:N)+SUMIF('Match Data'!D:D,A2,'Match Data'!O:O)</f>
        <v/>
      </c>
      <c r="M2" s="3">
        <f>IF(D2=0,0,L2/D2*90)</f>
        <v/>
      </c>
      <c r="N2">
        <f>SUMIF('Match Data'!C:C,A2,'Match Data'!P:P)+SUMIF('Match Data'!D:D,A2,'Match Data'!Q:Q)</f>
        <v/>
      </c>
      <c r="O2">
        <f>SUMIF('Match Data'!C:C,A2,'Match Data'!R:R)+SUMIF('Match Data'!D:D,A2,'Match Data'!S:S)</f>
        <v/>
      </c>
      <c r="P2">
        <f>N2*1+O2*2</f>
        <v/>
      </c>
      <c r="Q2" s="3">
        <f>IF(D2=0,0,P2/D2*90)</f>
        <v/>
      </c>
      <c r="R2">
        <f>SUMIF('Match Data'!C:C,A2,'Match Data'!T:T)+SUMIF('Match Data'!D:D,A2,'Match Data'!U:U)</f>
        <v/>
      </c>
      <c r="S2" s="3">
        <f>IF(D2=0,0,R2/D2*90)</f>
        <v/>
      </c>
      <c r="T2">
        <f>SUMIF('Match Data'!C:C,A2,'Match Data'!V:V)+SUMIF('Match Data'!D:D,A2,'Match Data'!W:W)</f>
        <v/>
      </c>
      <c r="U2" s="3">
        <f>IF(D2=0,0,T2/D2*90)</f>
        <v/>
      </c>
      <c r="V2">
        <f>E2-F2</f>
        <v/>
      </c>
    </row>
    <row r="3">
      <c r="A3">
        <f>Participants!B3</f>
        <v/>
      </c>
      <c r="B3">
        <f>Participants!C3</f>
        <v/>
      </c>
      <c r="C3">
        <f>COUNTIFS('Match Data'!C:C,A3,'Match Data'!E:E,"&gt;=0")+COUNTIFS('Match Data'!D:D,A3,'Match Data'!F:F,"&gt;=0")</f>
        <v/>
      </c>
      <c r="D3">
        <f>SUMIF('Match Data'!C:C,A3,'Match Data'!G:G)+SUMIF('Match Data'!D:D,A3,'Match Data'!G:G)</f>
        <v/>
      </c>
      <c r="E3">
        <f>SUMIF('Match Data'!C:C,A3,'Match Data'!E:E)+SUMIF('Match Data'!D:D,A3,'Match Data'!F:F)</f>
        <v/>
      </c>
      <c r="F3">
        <f>SUMIF('Match Data'!C:C,A3,'Match Data'!F:F)+SUMIF('Match Data'!D:D,A3,'Match Data'!E:E)</f>
        <v/>
      </c>
      <c r="G3">
        <f>SUMIF('Match Data'!C:C,A3,'Match Data'!H:H)+SUMIF('Match Data'!D:D,A3,'Match Data'!I:I)</f>
        <v/>
      </c>
      <c r="H3" s="3">
        <f>IF(D3=0,0,G3/D3*90)</f>
        <v/>
      </c>
      <c r="I3">
        <f>SUMIF('Match Data'!C:C,A3,'Match Data'!J:J)+SUMIF('Match Data'!D:D,A3,'Match Data'!K:K)</f>
        <v/>
      </c>
      <c r="J3" s="3">
        <f>IF(D3=0,0,I3/D3*90)</f>
        <v/>
      </c>
      <c r="K3" s="3">
        <f>IF(C3=0,0,(SUMIF('Match Data'!C:C,A3,'Match Data'!L:L)+SUMIF('Match Data'!D:D,A3,'Match Data'!M:M))/C3)</f>
        <v/>
      </c>
      <c r="L3">
        <f>SUMIF('Match Data'!C:C,A3,'Match Data'!N:N)+SUMIF('Match Data'!D:D,A3,'Match Data'!O:O)</f>
        <v/>
      </c>
      <c r="M3" s="3">
        <f>IF(D3=0,0,L3/D3*90)</f>
        <v/>
      </c>
      <c r="N3">
        <f>SUMIF('Match Data'!C:C,A3,'Match Data'!P:P)+SUMIF('Match Data'!D:D,A3,'Match Data'!Q:Q)</f>
        <v/>
      </c>
      <c r="O3">
        <f>SUMIF('Match Data'!C:C,A3,'Match Data'!R:R)+SUMIF('Match Data'!D:D,A3,'Match Data'!S:S)</f>
        <v/>
      </c>
      <c r="P3">
        <f>N3*1+O3*2</f>
        <v/>
      </c>
      <c r="Q3" s="3">
        <f>IF(D3=0,0,P3/D3*90)</f>
        <v/>
      </c>
      <c r="R3">
        <f>SUMIF('Match Data'!C:C,A3,'Match Data'!T:T)+SUMIF('Match Data'!D:D,A3,'Match Data'!U:U)</f>
        <v/>
      </c>
      <c r="S3" s="3">
        <f>IF(D3=0,0,R3/D3*90)</f>
        <v/>
      </c>
      <c r="T3">
        <f>SUMIF('Match Data'!C:C,A3,'Match Data'!V:V)+SUMIF('Match Data'!D:D,A3,'Match Data'!W:W)</f>
        <v/>
      </c>
      <c r="U3" s="3">
        <f>IF(D3=0,0,T3/D3*90)</f>
        <v/>
      </c>
      <c r="V3">
        <f>E3-F3</f>
        <v/>
      </c>
    </row>
    <row r="4">
      <c r="A4">
        <f>Participants!B4</f>
        <v/>
      </c>
      <c r="B4">
        <f>Participants!C4</f>
        <v/>
      </c>
      <c r="C4">
        <f>COUNTIFS('Match Data'!C:C,A4,'Match Data'!E:E,"&gt;=0")+COUNTIFS('Match Data'!D:D,A4,'Match Data'!F:F,"&gt;=0")</f>
        <v/>
      </c>
      <c r="D4">
        <f>SUMIF('Match Data'!C:C,A4,'Match Data'!G:G)+SUMIF('Match Data'!D:D,A4,'Match Data'!G:G)</f>
        <v/>
      </c>
      <c r="E4">
        <f>SUMIF('Match Data'!C:C,A4,'Match Data'!E:E)+SUMIF('Match Data'!D:D,A4,'Match Data'!F:F)</f>
        <v/>
      </c>
      <c r="F4">
        <f>SUMIF('Match Data'!C:C,A4,'Match Data'!F:F)+SUMIF('Match Data'!D:D,A4,'Match Data'!E:E)</f>
        <v/>
      </c>
      <c r="G4">
        <f>SUMIF('Match Data'!C:C,A4,'Match Data'!H:H)+SUMIF('Match Data'!D:D,A4,'Match Data'!I:I)</f>
        <v/>
      </c>
      <c r="H4" s="3">
        <f>IF(D4=0,0,G4/D4*90)</f>
        <v/>
      </c>
      <c r="I4">
        <f>SUMIF('Match Data'!C:C,A4,'Match Data'!J:J)+SUMIF('Match Data'!D:D,A4,'Match Data'!K:K)</f>
        <v/>
      </c>
      <c r="J4" s="3">
        <f>IF(D4=0,0,I4/D4*90)</f>
        <v/>
      </c>
      <c r="K4" s="3">
        <f>IF(C4=0,0,(SUMIF('Match Data'!C:C,A4,'Match Data'!L:L)+SUMIF('Match Data'!D:D,A4,'Match Data'!M:M))/C4)</f>
        <v/>
      </c>
      <c r="L4">
        <f>SUMIF('Match Data'!C:C,A4,'Match Data'!N:N)+SUMIF('Match Data'!D:D,A4,'Match Data'!O:O)</f>
        <v/>
      </c>
      <c r="M4" s="3">
        <f>IF(D4=0,0,L4/D4*90)</f>
        <v/>
      </c>
      <c r="N4">
        <f>SUMIF('Match Data'!C:C,A4,'Match Data'!P:P)+SUMIF('Match Data'!D:D,A4,'Match Data'!Q:Q)</f>
        <v/>
      </c>
      <c r="O4">
        <f>SUMIF('Match Data'!C:C,A4,'Match Data'!R:R)+SUMIF('Match Data'!D:D,A4,'Match Data'!S:S)</f>
        <v/>
      </c>
      <c r="P4">
        <f>N4*1+O4*2</f>
        <v/>
      </c>
      <c r="Q4" s="3">
        <f>IF(D4=0,0,P4/D4*90)</f>
        <v/>
      </c>
      <c r="R4">
        <f>SUMIF('Match Data'!C:C,A4,'Match Data'!T:T)+SUMIF('Match Data'!D:D,A4,'Match Data'!U:U)</f>
        <v/>
      </c>
      <c r="S4" s="3">
        <f>IF(D4=0,0,R4/D4*90)</f>
        <v/>
      </c>
      <c r="T4">
        <f>SUMIF('Match Data'!C:C,A4,'Match Data'!V:V)+SUMIF('Match Data'!D:D,A4,'Match Data'!W:W)</f>
        <v/>
      </c>
      <c r="U4" s="3">
        <f>IF(D4=0,0,T4/D4*90)</f>
        <v/>
      </c>
      <c r="V4">
        <f>E4-F4</f>
        <v/>
      </c>
    </row>
    <row r="5">
      <c r="A5">
        <f>Participants!B5</f>
        <v/>
      </c>
      <c r="B5">
        <f>Participants!C5</f>
        <v/>
      </c>
      <c r="C5">
        <f>COUNTIFS('Match Data'!C:C,A5,'Match Data'!E:E,"&gt;=0")+COUNTIFS('Match Data'!D:D,A5,'Match Data'!F:F,"&gt;=0")</f>
        <v/>
      </c>
      <c r="D5">
        <f>SUMIF('Match Data'!C:C,A5,'Match Data'!G:G)+SUMIF('Match Data'!D:D,A5,'Match Data'!G:G)</f>
        <v/>
      </c>
      <c r="E5">
        <f>SUMIF('Match Data'!C:C,A5,'Match Data'!E:E)+SUMIF('Match Data'!D:D,A5,'Match Data'!F:F)</f>
        <v/>
      </c>
      <c r="F5">
        <f>SUMIF('Match Data'!C:C,A5,'Match Data'!F:F)+SUMIF('Match Data'!D:D,A5,'Match Data'!E:E)</f>
        <v/>
      </c>
      <c r="G5">
        <f>SUMIF('Match Data'!C:C,A5,'Match Data'!H:H)+SUMIF('Match Data'!D:D,A5,'Match Data'!I:I)</f>
        <v/>
      </c>
      <c r="H5" s="3">
        <f>IF(D5=0,0,G5/D5*90)</f>
        <v/>
      </c>
      <c r="I5">
        <f>SUMIF('Match Data'!C:C,A5,'Match Data'!J:J)+SUMIF('Match Data'!D:D,A5,'Match Data'!K:K)</f>
        <v/>
      </c>
      <c r="J5" s="3">
        <f>IF(D5=0,0,I5/D5*90)</f>
        <v/>
      </c>
      <c r="K5" s="3">
        <f>IF(C5=0,0,(SUMIF('Match Data'!C:C,A5,'Match Data'!L:L)+SUMIF('Match Data'!D:D,A5,'Match Data'!M:M))/C5)</f>
        <v/>
      </c>
      <c r="L5">
        <f>SUMIF('Match Data'!C:C,A5,'Match Data'!N:N)+SUMIF('Match Data'!D:D,A5,'Match Data'!O:O)</f>
        <v/>
      </c>
      <c r="M5" s="3">
        <f>IF(D5=0,0,L5/D5*90)</f>
        <v/>
      </c>
      <c r="N5">
        <f>SUMIF('Match Data'!C:C,A5,'Match Data'!P:P)+SUMIF('Match Data'!D:D,A5,'Match Data'!Q:Q)</f>
        <v/>
      </c>
      <c r="O5">
        <f>SUMIF('Match Data'!C:C,A5,'Match Data'!R:R)+SUMIF('Match Data'!D:D,A5,'Match Data'!S:S)</f>
        <v/>
      </c>
      <c r="P5">
        <f>N5*1+O5*2</f>
        <v/>
      </c>
      <c r="Q5" s="3">
        <f>IF(D5=0,0,P5/D5*90)</f>
        <v/>
      </c>
      <c r="R5">
        <f>SUMIF('Match Data'!C:C,A5,'Match Data'!T:T)+SUMIF('Match Data'!D:D,A5,'Match Data'!U:U)</f>
        <v/>
      </c>
      <c r="S5" s="3">
        <f>IF(D5=0,0,R5/D5*90)</f>
        <v/>
      </c>
      <c r="T5">
        <f>SUMIF('Match Data'!C:C,A5,'Match Data'!V:V)+SUMIF('Match Data'!D:D,A5,'Match Data'!W:W)</f>
        <v/>
      </c>
      <c r="U5" s="3">
        <f>IF(D5=0,0,T5/D5*90)</f>
        <v/>
      </c>
      <c r="V5">
        <f>E5-F5</f>
        <v/>
      </c>
    </row>
    <row r="6">
      <c r="A6">
        <f>Participants!B6</f>
        <v/>
      </c>
      <c r="B6">
        <f>Participants!C6</f>
        <v/>
      </c>
      <c r="C6">
        <f>COUNTIFS('Match Data'!C:C,A6,'Match Data'!E:E,"&gt;=0")+COUNTIFS('Match Data'!D:D,A6,'Match Data'!F:F,"&gt;=0")</f>
        <v/>
      </c>
      <c r="D6">
        <f>SUMIF('Match Data'!C:C,A6,'Match Data'!G:G)+SUMIF('Match Data'!D:D,A6,'Match Data'!G:G)</f>
        <v/>
      </c>
      <c r="E6">
        <f>SUMIF('Match Data'!C:C,A6,'Match Data'!E:E)+SUMIF('Match Data'!D:D,A6,'Match Data'!F:F)</f>
        <v/>
      </c>
      <c r="F6">
        <f>SUMIF('Match Data'!C:C,A6,'Match Data'!F:F)+SUMIF('Match Data'!D:D,A6,'Match Data'!E:E)</f>
        <v/>
      </c>
      <c r="G6">
        <f>SUMIF('Match Data'!C:C,A6,'Match Data'!H:H)+SUMIF('Match Data'!D:D,A6,'Match Data'!I:I)</f>
        <v/>
      </c>
      <c r="H6" s="3">
        <f>IF(D6=0,0,G6/D6*90)</f>
        <v/>
      </c>
      <c r="I6">
        <f>SUMIF('Match Data'!C:C,A6,'Match Data'!J:J)+SUMIF('Match Data'!D:D,A6,'Match Data'!K:K)</f>
        <v/>
      </c>
      <c r="J6" s="3">
        <f>IF(D6=0,0,I6/D6*90)</f>
        <v/>
      </c>
      <c r="K6" s="3">
        <f>IF(C6=0,0,(SUMIF('Match Data'!C:C,A6,'Match Data'!L:L)+SUMIF('Match Data'!D:D,A6,'Match Data'!M:M))/C6)</f>
        <v/>
      </c>
      <c r="L6">
        <f>SUMIF('Match Data'!C:C,A6,'Match Data'!N:N)+SUMIF('Match Data'!D:D,A6,'Match Data'!O:O)</f>
        <v/>
      </c>
      <c r="M6" s="3">
        <f>IF(D6=0,0,L6/D6*90)</f>
        <v/>
      </c>
      <c r="N6">
        <f>SUMIF('Match Data'!C:C,A6,'Match Data'!P:P)+SUMIF('Match Data'!D:D,A6,'Match Data'!Q:Q)</f>
        <v/>
      </c>
      <c r="O6">
        <f>SUMIF('Match Data'!C:C,A6,'Match Data'!R:R)+SUMIF('Match Data'!D:D,A6,'Match Data'!S:S)</f>
        <v/>
      </c>
      <c r="P6">
        <f>N6*1+O6*2</f>
        <v/>
      </c>
      <c r="Q6" s="3">
        <f>IF(D6=0,0,P6/D6*90)</f>
        <v/>
      </c>
      <c r="R6">
        <f>SUMIF('Match Data'!C:C,A6,'Match Data'!T:T)+SUMIF('Match Data'!D:D,A6,'Match Data'!U:U)</f>
        <v/>
      </c>
      <c r="S6" s="3">
        <f>IF(D6=0,0,R6/D6*90)</f>
        <v/>
      </c>
      <c r="T6">
        <f>SUMIF('Match Data'!C:C,A6,'Match Data'!V:V)+SUMIF('Match Data'!D:D,A6,'Match Data'!W:W)</f>
        <v/>
      </c>
      <c r="U6" s="3">
        <f>IF(D6=0,0,T6/D6*90)</f>
        <v/>
      </c>
      <c r="V6">
        <f>E6-F6</f>
        <v/>
      </c>
    </row>
    <row r="7">
      <c r="A7">
        <f>Participants!B7</f>
        <v/>
      </c>
      <c r="B7">
        <f>Participants!C7</f>
        <v/>
      </c>
      <c r="C7">
        <f>COUNTIFS('Match Data'!C:C,A7,'Match Data'!E:E,"&gt;=0")+COUNTIFS('Match Data'!D:D,A7,'Match Data'!F:F,"&gt;=0")</f>
        <v/>
      </c>
      <c r="D7">
        <f>SUMIF('Match Data'!C:C,A7,'Match Data'!G:G)+SUMIF('Match Data'!D:D,A7,'Match Data'!G:G)</f>
        <v/>
      </c>
      <c r="E7">
        <f>SUMIF('Match Data'!C:C,A7,'Match Data'!E:E)+SUMIF('Match Data'!D:D,A7,'Match Data'!F:F)</f>
        <v/>
      </c>
      <c r="F7">
        <f>SUMIF('Match Data'!C:C,A7,'Match Data'!F:F)+SUMIF('Match Data'!D:D,A7,'Match Data'!E:E)</f>
        <v/>
      </c>
      <c r="G7">
        <f>SUMIF('Match Data'!C:C,A7,'Match Data'!H:H)+SUMIF('Match Data'!D:D,A7,'Match Data'!I:I)</f>
        <v/>
      </c>
      <c r="H7" s="3">
        <f>IF(D7=0,0,G7/D7*90)</f>
        <v/>
      </c>
      <c r="I7">
        <f>SUMIF('Match Data'!C:C,A7,'Match Data'!J:J)+SUMIF('Match Data'!D:D,A7,'Match Data'!K:K)</f>
        <v/>
      </c>
      <c r="J7" s="3">
        <f>IF(D7=0,0,I7/D7*90)</f>
        <v/>
      </c>
      <c r="K7" s="3">
        <f>IF(C7=0,0,(SUMIF('Match Data'!C:C,A7,'Match Data'!L:L)+SUMIF('Match Data'!D:D,A7,'Match Data'!M:M))/C7)</f>
        <v/>
      </c>
      <c r="L7">
        <f>SUMIF('Match Data'!C:C,A7,'Match Data'!N:N)+SUMIF('Match Data'!D:D,A7,'Match Data'!O:O)</f>
        <v/>
      </c>
      <c r="M7" s="3">
        <f>IF(D7=0,0,L7/D7*90)</f>
        <v/>
      </c>
      <c r="N7">
        <f>SUMIF('Match Data'!C:C,A7,'Match Data'!P:P)+SUMIF('Match Data'!D:D,A7,'Match Data'!Q:Q)</f>
        <v/>
      </c>
      <c r="O7">
        <f>SUMIF('Match Data'!C:C,A7,'Match Data'!R:R)+SUMIF('Match Data'!D:D,A7,'Match Data'!S:S)</f>
        <v/>
      </c>
      <c r="P7">
        <f>N7*1+O7*2</f>
        <v/>
      </c>
      <c r="Q7" s="3">
        <f>IF(D7=0,0,P7/D7*90)</f>
        <v/>
      </c>
      <c r="R7">
        <f>SUMIF('Match Data'!C:C,A7,'Match Data'!T:T)+SUMIF('Match Data'!D:D,A7,'Match Data'!U:U)</f>
        <v/>
      </c>
      <c r="S7" s="3">
        <f>IF(D7=0,0,R7/D7*90)</f>
        <v/>
      </c>
      <c r="T7">
        <f>SUMIF('Match Data'!C:C,A7,'Match Data'!V:V)+SUMIF('Match Data'!D:D,A7,'Match Data'!W:W)</f>
        <v/>
      </c>
      <c r="U7" s="3">
        <f>IF(D7=0,0,T7/D7*90)</f>
        <v/>
      </c>
      <c r="V7">
        <f>E7-F7</f>
        <v/>
      </c>
    </row>
    <row r="8">
      <c r="A8">
        <f>Participants!B8</f>
        <v/>
      </c>
      <c r="B8">
        <f>Participants!C8</f>
        <v/>
      </c>
      <c r="C8">
        <f>COUNTIFS('Match Data'!C:C,A8,'Match Data'!E:E,"&gt;=0")+COUNTIFS('Match Data'!D:D,A8,'Match Data'!F:F,"&gt;=0")</f>
        <v/>
      </c>
      <c r="D8">
        <f>SUMIF('Match Data'!C:C,A8,'Match Data'!G:G)+SUMIF('Match Data'!D:D,A8,'Match Data'!G:G)</f>
        <v/>
      </c>
      <c r="E8">
        <f>SUMIF('Match Data'!C:C,A8,'Match Data'!E:E)+SUMIF('Match Data'!D:D,A8,'Match Data'!F:F)</f>
        <v/>
      </c>
      <c r="F8">
        <f>SUMIF('Match Data'!C:C,A8,'Match Data'!F:F)+SUMIF('Match Data'!D:D,A8,'Match Data'!E:E)</f>
        <v/>
      </c>
      <c r="G8">
        <f>SUMIF('Match Data'!C:C,A8,'Match Data'!H:H)+SUMIF('Match Data'!D:D,A8,'Match Data'!I:I)</f>
        <v/>
      </c>
      <c r="H8" s="3">
        <f>IF(D8=0,0,G8/D8*90)</f>
        <v/>
      </c>
      <c r="I8">
        <f>SUMIF('Match Data'!C:C,A8,'Match Data'!J:J)+SUMIF('Match Data'!D:D,A8,'Match Data'!K:K)</f>
        <v/>
      </c>
      <c r="J8" s="3">
        <f>IF(D8=0,0,I8/D8*90)</f>
        <v/>
      </c>
      <c r="K8" s="3">
        <f>IF(C8=0,0,(SUMIF('Match Data'!C:C,A8,'Match Data'!L:L)+SUMIF('Match Data'!D:D,A8,'Match Data'!M:M))/C8)</f>
        <v/>
      </c>
      <c r="L8">
        <f>SUMIF('Match Data'!C:C,A8,'Match Data'!N:N)+SUMIF('Match Data'!D:D,A8,'Match Data'!O:O)</f>
        <v/>
      </c>
      <c r="M8" s="3">
        <f>IF(D8=0,0,L8/D8*90)</f>
        <v/>
      </c>
      <c r="N8">
        <f>SUMIF('Match Data'!C:C,A8,'Match Data'!P:P)+SUMIF('Match Data'!D:D,A8,'Match Data'!Q:Q)</f>
        <v/>
      </c>
      <c r="O8">
        <f>SUMIF('Match Data'!C:C,A8,'Match Data'!R:R)+SUMIF('Match Data'!D:D,A8,'Match Data'!S:S)</f>
        <v/>
      </c>
      <c r="P8">
        <f>N8*1+O8*2</f>
        <v/>
      </c>
      <c r="Q8" s="3">
        <f>IF(D8=0,0,P8/D8*90)</f>
        <v/>
      </c>
      <c r="R8">
        <f>SUMIF('Match Data'!C:C,A8,'Match Data'!T:T)+SUMIF('Match Data'!D:D,A8,'Match Data'!U:U)</f>
        <v/>
      </c>
      <c r="S8" s="3">
        <f>IF(D8=0,0,R8/D8*90)</f>
        <v/>
      </c>
      <c r="T8">
        <f>SUMIF('Match Data'!C:C,A8,'Match Data'!V:V)+SUMIF('Match Data'!D:D,A8,'Match Data'!W:W)</f>
        <v/>
      </c>
      <c r="U8" s="3">
        <f>IF(D8=0,0,T8/D8*90)</f>
        <v/>
      </c>
      <c r="V8">
        <f>E8-F8</f>
        <v/>
      </c>
    </row>
    <row r="9">
      <c r="A9">
        <f>Participants!B9</f>
        <v/>
      </c>
      <c r="B9">
        <f>Participants!C9</f>
        <v/>
      </c>
      <c r="C9">
        <f>COUNTIFS('Match Data'!C:C,A9,'Match Data'!E:E,"&gt;=0")+COUNTIFS('Match Data'!D:D,A9,'Match Data'!F:F,"&gt;=0")</f>
        <v/>
      </c>
      <c r="D9">
        <f>SUMIF('Match Data'!C:C,A9,'Match Data'!G:G)+SUMIF('Match Data'!D:D,A9,'Match Data'!G:G)</f>
        <v/>
      </c>
      <c r="E9">
        <f>SUMIF('Match Data'!C:C,A9,'Match Data'!E:E)+SUMIF('Match Data'!D:D,A9,'Match Data'!F:F)</f>
        <v/>
      </c>
      <c r="F9">
        <f>SUMIF('Match Data'!C:C,A9,'Match Data'!F:F)+SUMIF('Match Data'!D:D,A9,'Match Data'!E:E)</f>
        <v/>
      </c>
      <c r="G9">
        <f>SUMIF('Match Data'!C:C,A9,'Match Data'!H:H)+SUMIF('Match Data'!D:D,A9,'Match Data'!I:I)</f>
        <v/>
      </c>
      <c r="H9" s="3">
        <f>IF(D9=0,0,G9/D9*90)</f>
        <v/>
      </c>
      <c r="I9">
        <f>SUMIF('Match Data'!C:C,A9,'Match Data'!J:J)+SUMIF('Match Data'!D:D,A9,'Match Data'!K:K)</f>
        <v/>
      </c>
      <c r="J9" s="3">
        <f>IF(D9=0,0,I9/D9*90)</f>
        <v/>
      </c>
      <c r="K9" s="3">
        <f>IF(C9=0,0,(SUMIF('Match Data'!C:C,A9,'Match Data'!L:L)+SUMIF('Match Data'!D:D,A9,'Match Data'!M:M))/C9)</f>
        <v/>
      </c>
      <c r="L9">
        <f>SUMIF('Match Data'!C:C,A9,'Match Data'!N:N)+SUMIF('Match Data'!D:D,A9,'Match Data'!O:O)</f>
        <v/>
      </c>
      <c r="M9" s="3">
        <f>IF(D9=0,0,L9/D9*90)</f>
        <v/>
      </c>
      <c r="N9">
        <f>SUMIF('Match Data'!C:C,A9,'Match Data'!P:P)+SUMIF('Match Data'!D:D,A9,'Match Data'!Q:Q)</f>
        <v/>
      </c>
      <c r="O9">
        <f>SUMIF('Match Data'!C:C,A9,'Match Data'!R:R)+SUMIF('Match Data'!D:D,A9,'Match Data'!S:S)</f>
        <v/>
      </c>
      <c r="P9">
        <f>N9*1+O9*2</f>
        <v/>
      </c>
      <c r="Q9" s="3">
        <f>IF(D9=0,0,P9/D9*90)</f>
        <v/>
      </c>
      <c r="R9">
        <f>SUMIF('Match Data'!C:C,A9,'Match Data'!T:T)+SUMIF('Match Data'!D:D,A9,'Match Data'!U:U)</f>
        <v/>
      </c>
      <c r="S9" s="3">
        <f>IF(D9=0,0,R9/D9*90)</f>
        <v/>
      </c>
      <c r="T9">
        <f>SUMIF('Match Data'!C:C,A9,'Match Data'!V:V)+SUMIF('Match Data'!D:D,A9,'Match Data'!W:W)</f>
        <v/>
      </c>
      <c r="U9" s="3">
        <f>IF(D9=0,0,T9/D9*90)</f>
        <v/>
      </c>
      <c r="V9">
        <f>E9-F9</f>
        <v/>
      </c>
    </row>
    <row r="10">
      <c r="A10">
        <f>Participants!B10</f>
        <v/>
      </c>
      <c r="B10">
        <f>Participants!C10</f>
        <v/>
      </c>
      <c r="C10">
        <f>COUNTIFS('Match Data'!C:C,A10,'Match Data'!E:E,"&gt;=0")+COUNTIFS('Match Data'!D:D,A10,'Match Data'!F:F,"&gt;=0")</f>
        <v/>
      </c>
      <c r="D10">
        <f>SUMIF('Match Data'!C:C,A10,'Match Data'!G:G)+SUMIF('Match Data'!D:D,A10,'Match Data'!G:G)</f>
        <v/>
      </c>
      <c r="E10">
        <f>SUMIF('Match Data'!C:C,A10,'Match Data'!E:E)+SUMIF('Match Data'!D:D,A10,'Match Data'!F:F)</f>
        <v/>
      </c>
      <c r="F10">
        <f>SUMIF('Match Data'!C:C,A10,'Match Data'!F:F)+SUMIF('Match Data'!D:D,A10,'Match Data'!E:E)</f>
        <v/>
      </c>
      <c r="G10">
        <f>SUMIF('Match Data'!C:C,A10,'Match Data'!H:H)+SUMIF('Match Data'!D:D,A10,'Match Data'!I:I)</f>
        <v/>
      </c>
      <c r="H10" s="3">
        <f>IF(D10=0,0,G10/D10*90)</f>
        <v/>
      </c>
      <c r="I10">
        <f>SUMIF('Match Data'!C:C,A10,'Match Data'!J:J)+SUMIF('Match Data'!D:D,A10,'Match Data'!K:K)</f>
        <v/>
      </c>
      <c r="J10" s="3">
        <f>IF(D10=0,0,I10/D10*90)</f>
        <v/>
      </c>
      <c r="K10" s="3">
        <f>IF(C10=0,0,(SUMIF('Match Data'!C:C,A10,'Match Data'!L:L)+SUMIF('Match Data'!D:D,A10,'Match Data'!M:M))/C10)</f>
        <v/>
      </c>
      <c r="L10">
        <f>SUMIF('Match Data'!C:C,A10,'Match Data'!N:N)+SUMIF('Match Data'!D:D,A10,'Match Data'!O:O)</f>
        <v/>
      </c>
      <c r="M10" s="3">
        <f>IF(D10=0,0,L10/D10*90)</f>
        <v/>
      </c>
      <c r="N10">
        <f>SUMIF('Match Data'!C:C,A10,'Match Data'!P:P)+SUMIF('Match Data'!D:D,A10,'Match Data'!Q:Q)</f>
        <v/>
      </c>
      <c r="O10">
        <f>SUMIF('Match Data'!C:C,A10,'Match Data'!R:R)+SUMIF('Match Data'!D:D,A10,'Match Data'!S:S)</f>
        <v/>
      </c>
      <c r="P10">
        <f>N10*1+O10*2</f>
        <v/>
      </c>
      <c r="Q10" s="3">
        <f>IF(D10=0,0,P10/D10*90)</f>
        <v/>
      </c>
      <c r="R10">
        <f>SUMIF('Match Data'!C:C,A10,'Match Data'!T:T)+SUMIF('Match Data'!D:D,A10,'Match Data'!U:U)</f>
        <v/>
      </c>
      <c r="S10" s="3">
        <f>IF(D10=0,0,R10/D10*90)</f>
        <v/>
      </c>
      <c r="T10">
        <f>SUMIF('Match Data'!C:C,A10,'Match Data'!V:V)+SUMIF('Match Data'!D:D,A10,'Match Data'!W:W)</f>
        <v/>
      </c>
      <c r="U10" s="3">
        <f>IF(D10=0,0,T10/D10*90)</f>
        <v/>
      </c>
      <c r="V10">
        <f>E10-F10</f>
        <v/>
      </c>
    </row>
    <row r="11">
      <c r="A11">
        <f>Participants!B11</f>
        <v/>
      </c>
      <c r="B11">
        <f>Participants!C11</f>
        <v/>
      </c>
      <c r="C11">
        <f>COUNTIFS('Match Data'!C:C,A11,'Match Data'!E:E,"&gt;=0")+COUNTIFS('Match Data'!D:D,A11,'Match Data'!F:F,"&gt;=0")</f>
        <v/>
      </c>
      <c r="D11">
        <f>SUMIF('Match Data'!C:C,A11,'Match Data'!G:G)+SUMIF('Match Data'!D:D,A11,'Match Data'!G:G)</f>
        <v/>
      </c>
      <c r="E11">
        <f>SUMIF('Match Data'!C:C,A11,'Match Data'!E:E)+SUMIF('Match Data'!D:D,A11,'Match Data'!F:F)</f>
        <v/>
      </c>
      <c r="F11">
        <f>SUMIF('Match Data'!C:C,A11,'Match Data'!F:F)+SUMIF('Match Data'!D:D,A11,'Match Data'!E:E)</f>
        <v/>
      </c>
      <c r="G11">
        <f>SUMIF('Match Data'!C:C,A11,'Match Data'!H:H)+SUMIF('Match Data'!D:D,A11,'Match Data'!I:I)</f>
        <v/>
      </c>
      <c r="H11" s="3">
        <f>IF(D11=0,0,G11/D11*90)</f>
        <v/>
      </c>
      <c r="I11">
        <f>SUMIF('Match Data'!C:C,A11,'Match Data'!J:J)+SUMIF('Match Data'!D:D,A11,'Match Data'!K:K)</f>
        <v/>
      </c>
      <c r="J11" s="3">
        <f>IF(D11=0,0,I11/D11*90)</f>
        <v/>
      </c>
      <c r="K11" s="3">
        <f>IF(C11=0,0,(SUMIF('Match Data'!C:C,A11,'Match Data'!L:L)+SUMIF('Match Data'!D:D,A11,'Match Data'!M:M))/C11)</f>
        <v/>
      </c>
      <c r="L11">
        <f>SUMIF('Match Data'!C:C,A11,'Match Data'!N:N)+SUMIF('Match Data'!D:D,A11,'Match Data'!O:O)</f>
        <v/>
      </c>
      <c r="M11" s="3">
        <f>IF(D11=0,0,L11/D11*90)</f>
        <v/>
      </c>
      <c r="N11">
        <f>SUMIF('Match Data'!C:C,A11,'Match Data'!P:P)+SUMIF('Match Data'!D:D,A11,'Match Data'!Q:Q)</f>
        <v/>
      </c>
      <c r="O11">
        <f>SUMIF('Match Data'!C:C,A11,'Match Data'!R:R)+SUMIF('Match Data'!D:D,A11,'Match Data'!S:S)</f>
        <v/>
      </c>
      <c r="P11">
        <f>N11*1+O11*2</f>
        <v/>
      </c>
      <c r="Q11" s="3">
        <f>IF(D11=0,0,P11/D11*90)</f>
        <v/>
      </c>
      <c r="R11">
        <f>SUMIF('Match Data'!C:C,A11,'Match Data'!T:T)+SUMIF('Match Data'!D:D,A11,'Match Data'!U:U)</f>
        <v/>
      </c>
      <c r="S11" s="3">
        <f>IF(D11=0,0,R11/D11*90)</f>
        <v/>
      </c>
      <c r="T11">
        <f>SUMIF('Match Data'!C:C,A11,'Match Data'!V:V)+SUMIF('Match Data'!D:D,A11,'Match Data'!W:W)</f>
        <v/>
      </c>
      <c r="U11" s="3">
        <f>IF(D11=0,0,T11/D11*90)</f>
        <v/>
      </c>
      <c r="V11">
        <f>E11-F11</f>
        <v/>
      </c>
    </row>
    <row r="12">
      <c r="A12">
        <f>Participants!B12</f>
        <v/>
      </c>
      <c r="B12">
        <f>Participants!C12</f>
        <v/>
      </c>
      <c r="C12">
        <f>COUNTIFS('Match Data'!C:C,A12,'Match Data'!E:E,"&gt;=0")+COUNTIFS('Match Data'!D:D,A12,'Match Data'!F:F,"&gt;=0")</f>
        <v/>
      </c>
      <c r="D12">
        <f>SUMIF('Match Data'!C:C,A12,'Match Data'!G:G)+SUMIF('Match Data'!D:D,A12,'Match Data'!G:G)</f>
        <v/>
      </c>
      <c r="E12">
        <f>SUMIF('Match Data'!C:C,A12,'Match Data'!E:E)+SUMIF('Match Data'!D:D,A12,'Match Data'!F:F)</f>
        <v/>
      </c>
      <c r="F12">
        <f>SUMIF('Match Data'!C:C,A12,'Match Data'!F:F)+SUMIF('Match Data'!D:D,A12,'Match Data'!E:E)</f>
        <v/>
      </c>
      <c r="G12">
        <f>SUMIF('Match Data'!C:C,A12,'Match Data'!H:H)+SUMIF('Match Data'!D:D,A12,'Match Data'!I:I)</f>
        <v/>
      </c>
      <c r="H12" s="3">
        <f>IF(D12=0,0,G12/D12*90)</f>
        <v/>
      </c>
      <c r="I12">
        <f>SUMIF('Match Data'!C:C,A12,'Match Data'!J:J)+SUMIF('Match Data'!D:D,A12,'Match Data'!K:K)</f>
        <v/>
      </c>
      <c r="J12" s="3">
        <f>IF(D12=0,0,I12/D12*90)</f>
        <v/>
      </c>
      <c r="K12" s="3">
        <f>IF(C12=0,0,(SUMIF('Match Data'!C:C,A12,'Match Data'!L:L)+SUMIF('Match Data'!D:D,A12,'Match Data'!M:M))/C12)</f>
        <v/>
      </c>
      <c r="L12">
        <f>SUMIF('Match Data'!C:C,A12,'Match Data'!N:N)+SUMIF('Match Data'!D:D,A12,'Match Data'!O:O)</f>
        <v/>
      </c>
      <c r="M12" s="3">
        <f>IF(D12=0,0,L12/D12*90)</f>
        <v/>
      </c>
      <c r="N12">
        <f>SUMIF('Match Data'!C:C,A12,'Match Data'!P:P)+SUMIF('Match Data'!D:D,A12,'Match Data'!Q:Q)</f>
        <v/>
      </c>
      <c r="O12">
        <f>SUMIF('Match Data'!C:C,A12,'Match Data'!R:R)+SUMIF('Match Data'!D:D,A12,'Match Data'!S:S)</f>
        <v/>
      </c>
      <c r="P12">
        <f>N12*1+O12*2</f>
        <v/>
      </c>
      <c r="Q12" s="3">
        <f>IF(D12=0,0,P12/D12*90)</f>
        <v/>
      </c>
      <c r="R12">
        <f>SUMIF('Match Data'!C:C,A12,'Match Data'!T:T)+SUMIF('Match Data'!D:D,A12,'Match Data'!U:U)</f>
        <v/>
      </c>
      <c r="S12" s="3">
        <f>IF(D12=0,0,R12/D12*90)</f>
        <v/>
      </c>
      <c r="T12">
        <f>SUMIF('Match Data'!C:C,A12,'Match Data'!V:V)+SUMIF('Match Data'!D:D,A12,'Match Data'!W:W)</f>
        <v/>
      </c>
      <c r="U12" s="3">
        <f>IF(D12=0,0,T12/D12*90)</f>
        <v/>
      </c>
      <c r="V12">
        <f>E12-F12</f>
        <v/>
      </c>
    </row>
    <row r="13">
      <c r="A13">
        <f>Participants!B13</f>
        <v/>
      </c>
      <c r="B13">
        <f>Participants!C13</f>
        <v/>
      </c>
      <c r="C13">
        <f>COUNTIFS('Match Data'!C:C,A13,'Match Data'!E:E,"&gt;=0")+COUNTIFS('Match Data'!D:D,A13,'Match Data'!F:F,"&gt;=0")</f>
        <v/>
      </c>
      <c r="D13">
        <f>SUMIF('Match Data'!C:C,A13,'Match Data'!G:G)+SUMIF('Match Data'!D:D,A13,'Match Data'!G:G)</f>
        <v/>
      </c>
      <c r="E13">
        <f>SUMIF('Match Data'!C:C,A13,'Match Data'!E:E)+SUMIF('Match Data'!D:D,A13,'Match Data'!F:F)</f>
        <v/>
      </c>
      <c r="F13">
        <f>SUMIF('Match Data'!C:C,A13,'Match Data'!F:F)+SUMIF('Match Data'!D:D,A13,'Match Data'!E:E)</f>
        <v/>
      </c>
      <c r="G13">
        <f>SUMIF('Match Data'!C:C,A13,'Match Data'!H:H)+SUMIF('Match Data'!D:D,A13,'Match Data'!I:I)</f>
        <v/>
      </c>
      <c r="H13" s="3">
        <f>IF(D13=0,0,G13/D13*90)</f>
        <v/>
      </c>
      <c r="I13">
        <f>SUMIF('Match Data'!C:C,A13,'Match Data'!J:J)+SUMIF('Match Data'!D:D,A13,'Match Data'!K:K)</f>
        <v/>
      </c>
      <c r="J13" s="3">
        <f>IF(D13=0,0,I13/D13*90)</f>
        <v/>
      </c>
      <c r="K13" s="3">
        <f>IF(C13=0,0,(SUMIF('Match Data'!C:C,A13,'Match Data'!L:L)+SUMIF('Match Data'!D:D,A13,'Match Data'!M:M))/C13)</f>
        <v/>
      </c>
      <c r="L13">
        <f>SUMIF('Match Data'!C:C,A13,'Match Data'!N:N)+SUMIF('Match Data'!D:D,A13,'Match Data'!O:O)</f>
        <v/>
      </c>
      <c r="M13" s="3">
        <f>IF(D13=0,0,L13/D13*90)</f>
        <v/>
      </c>
      <c r="N13">
        <f>SUMIF('Match Data'!C:C,A13,'Match Data'!P:P)+SUMIF('Match Data'!D:D,A13,'Match Data'!Q:Q)</f>
        <v/>
      </c>
      <c r="O13">
        <f>SUMIF('Match Data'!C:C,A13,'Match Data'!R:R)+SUMIF('Match Data'!D:D,A13,'Match Data'!S:S)</f>
        <v/>
      </c>
      <c r="P13">
        <f>N13*1+O13*2</f>
        <v/>
      </c>
      <c r="Q13" s="3">
        <f>IF(D13=0,0,P13/D13*90)</f>
        <v/>
      </c>
      <c r="R13">
        <f>SUMIF('Match Data'!C:C,A13,'Match Data'!T:T)+SUMIF('Match Data'!D:D,A13,'Match Data'!U:U)</f>
        <v/>
      </c>
      <c r="S13" s="3">
        <f>IF(D13=0,0,R13/D13*90)</f>
        <v/>
      </c>
      <c r="T13">
        <f>SUMIF('Match Data'!C:C,A13,'Match Data'!V:V)+SUMIF('Match Data'!D:D,A13,'Match Data'!W:W)</f>
        <v/>
      </c>
      <c r="U13" s="3">
        <f>IF(D13=0,0,T13/D13*90)</f>
        <v/>
      </c>
      <c r="V13">
        <f>E13-F13</f>
        <v/>
      </c>
    </row>
    <row r="14">
      <c r="A14">
        <f>Participants!B14</f>
        <v/>
      </c>
      <c r="B14">
        <f>Participants!C14</f>
        <v/>
      </c>
      <c r="C14">
        <f>COUNTIFS('Match Data'!C:C,A14,'Match Data'!E:E,"&gt;=0")+COUNTIFS('Match Data'!D:D,A14,'Match Data'!F:F,"&gt;=0")</f>
        <v/>
      </c>
      <c r="D14">
        <f>SUMIF('Match Data'!C:C,A14,'Match Data'!G:G)+SUMIF('Match Data'!D:D,A14,'Match Data'!G:G)</f>
        <v/>
      </c>
      <c r="E14">
        <f>SUMIF('Match Data'!C:C,A14,'Match Data'!E:E)+SUMIF('Match Data'!D:D,A14,'Match Data'!F:F)</f>
        <v/>
      </c>
      <c r="F14">
        <f>SUMIF('Match Data'!C:C,A14,'Match Data'!F:F)+SUMIF('Match Data'!D:D,A14,'Match Data'!E:E)</f>
        <v/>
      </c>
      <c r="G14">
        <f>SUMIF('Match Data'!C:C,A14,'Match Data'!H:H)+SUMIF('Match Data'!D:D,A14,'Match Data'!I:I)</f>
        <v/>
      </c>
      <c r="H14" s="3">
        <f>IF(D14=0,0,G14/D14*90)</f>
        <v/>
      </c>
      <c r="I14">
        <f>SUMIF('Match Data'!C:C,A14,'Match Data'!J:J)+SUMIF('Match Data'!D:D,A14,'Match Data'!K:K)</f>
        <v/>
      </c>
      <c r="J14" s="3">
        <f>IF(D14=0,0,I14/D14*90)</f>
        <v/>
      </c>
      <c r="K14" s="3">
        <f>IF(C14=0,0,(SUMIF('Match Data'!C:C,A14,'Match Data'!L:L)+SUMIF('Match Data'!D:D,A14,'Match Data'!M:M))/C14)</f>
        <v/>
      </c>
      <c r="L14">
        <f>SUMIF('Match Data'!C:C,A14,'Match Data'!N:N)+SUMIF('Match Data'!D:D,A14,'Match Data'!O:O)</f>
        <v/>
      </c>
      <c r="M14" s="3">
        <f>IF(D14=0,0,L14/D14*90)</f>
        <v/>
      </c>
      <c r="N14">
        <f>SUMIF('Match Data'!C:C,A14,'Match Data'!P:P)+SUMIF('Match Data'!D:D,A14,'Match Data'!Q:Q)</f>
        <v/>
      </c>
      <c r="O14">
        <f>SUMIF('Match Data'!C:C,A14,'Match Data'!R:R)+SUMIF('Match Data'!D:D,A14,'Match Data'!S:S)</f>
        <v/>
      </c>
      <c r="P14">
        <f>N14*1+O14*2</f>
        <v/>
      </c>
      <c r="Q14" s="3">
        <f>IF(D14=0,0,P14/D14*90)</f>
        <v/>
      </c>
      <c r="R14">
        <f>SUMIF('Match Data'!C:C,A14,'Match Data'!T:T)+SUMIF('Match Data'!D:D,A14,'Match Data'!U:U)</f>
        <v/>
      </c>
      <c r="S14" s="3">
        <f>IF(D14=0,0,R14/D14*90)</f>
        <v/>
      </c>
      <c r="T14">
        <f>SUMIF('Match Data'!C:C,A14,'Match Data'!V:V)+SUMIF('Match Data'!D:D,A14,'Match Data'!W:W)</f>
        <v/>
      </c>
      <c r="U14" s="3">
        <f>IF(D14=0,0,T14/D14*90)</f>
        <v/>
      </c>
      <c r="V14">
        <f>E14-F14</f>
        <v/>
      </c>
    </row>
    <row r="15">
      <c r="A15">
        <f>Participants!B15</f>
        <v/>
      </c>
      <c r="B15">
        <f>Participants!C15</f>
        <v/>
      </c>
      <c r="C15">
        <f>COUNTIFS('Match Data'!C:C,A15,'Match Data'!E:E,"&gt;=0")+COUNTIFS('Match Data'!D:D,A15,'Match Data'!F:F,"&gt;=0")</f>
        <v/>
      </c>
      <c r="D15">
        <f>SUMIF('Match Data'!C:C,A15,'Match Data'!G:G)+SUMIF('Match Data'!D:D,A15,'Match Data'!G:G)</f>
        <v/>
      </c>
      <c r="E15">
        <f>SUMIF('Match Data'!C:C,A15,'Match Data'!E:E)+SUMIF('Match Data'!D:D,A15,'Match Data'!F:F)</f>
        <v/>
      </c>
      <c r="F15">
        <f>SUMIF('Match Data'!C:C,A15,'Match Data'!F:F)+SUMIF('Match Data'!D:D,A15,'Match Data'!E:E)</f>
        <v/>
      </c>
      <c r="G15">
        <f>SUMIF('Match Data'!C:C,A15,'Match Data'!H:H)+SUMIF('Match Data'!D:D,A15,'Match Data'!I:I)</f>
        <v/>
      </c>
      <c r="H15" s="3">
        <f>IF(D15=0,0,G15/D15*90)</f>
        <v/>
      </c>
      <c r="I15">
        <f>SUMIF('Match Data'!C:C,A15,'Match Data'!J:J)+SUMIF('Match Data'!D:D,A15,'Match Data'!K:K)</f>
        <v/>
      </c>
      <c r="J15" s="3">
        <f>IF(D15=0,0,I15/D15*90)</f>
        <v/>
      </c>
      <c r="K15" s="3">
        <f>IF(C15=0,0,(SUMIF('Match Data'!C:C,A15,'Match Data'!L:L)+SUMIF('Match Data'!D:D,A15,'Match Data'!M:M))/C15)</f>
        <v/>
      </c>
      <c r="L15">
        <f>SUMIF('Match Data'!C:C,A15,'Match Data'!N:N)+SUMIF('Match Data'!D:D,A15,'Match Data'!O:O)</f>
        <v/>
      </c>
      <c r="M15" s="3">
        <f>IF(D15=0,0,L15/D15*90)</f>
        <v/>
      </c>
      <c r="N15">
        <f>SUMIF('Match Data'!C:C,A15,'Match Data'!P:P)+SUMIF('Match Data'!D:D,A15,'Match Data'!Q:Q)</f>
        <v/>
      </c>
      <c r="O15">
        <f>SUMIF('Match Data'!C:C,A15,'Match Data'!R:R)+SUMIF('Match Data'!D:D,A15,'Match Data'!S:S)</f>
        <v/>
      </c>
      <c r="P15">
        <f>N15*1+O15*2</f>
        <v/>
      </c>
      <c r="Q15" s="3">
        <f>IF(D15=0,0,P15/D15*90)</f>
        <v/>
      </c>
      <c r="R15">
        <f>SUMIF('Match Data'!C:C,A15,'Match Data'!T:T)+SUMIF('Match Data'!D:D,A15,'Match Data'!U:U)</f>
        <v/>
      </c>
      <c r="S15" s="3">
        <f>IF(D15=0,0,R15/D15*90)</f>
        <v/>
      </c>
      <c r="T15">
        <f>SUMIF('Match Data'!C:C,A15,'Match Data'!V:V)+SUMIF('Match Data'!D:D,A15,'Match Data'!W:W)</f>
        <v/>
      </c>
      <c r="U15" s="3">
        <f>IF(D15=0,0,T15/D15*90)</f>
        <v/>
      </c>
      <c r="V15">
        <f>E15-F15</f>
        <v/>
      </c>
    </row>
    <row r="16">
      <c r="A16">
        <f>Participants!B16</f>
        <v/>
      </c>
      <c r="B16">
        <f>Participants!C16</f>
        <v/>
      </c>
      <c r="C16">
        <f>COUNTIFS('Match Data'!C:C,A16,'Match Data'!E:E,"&gt;=0")+COUNTIFS('Match Data'!D:D,A16,'Match Data'!F:F,"&gt;=0")</f>
        <v/>
      </c>
      <c r="D16">
        <f>SUMIF('Match Data'!C:C,A16,'Match Data'!G:G)+SUMIF('Match Data'!D:D,A16,'Match Data'!G:G)</f>
        <v/>
      </c>
      <c r="E16">
        <f>SUMIF('Match Data'!C:C,A16,'Match Data'!E:E)+SUMIF('Match Data'!D:D,A16,'Match Data'!F:F)</f>
        <v/>
      </c>
      <c r="F16">
        <f>SUMIF('Match Data'!C:C,A16,'Match Data'!F:F)+SUMIF('Match Data'!D:D,A16,'Match Data'!E:E)</f>
        <v/>
      </c>
      <c r="G16">
        <f>SUMIF('Match Data'!C:C,A16,'Match Data'!H:H)+SUMIF('Match Data'!D:D,A16,'Match Data'!I:I)</f>
        <v/>
      </c>
      <c r="H16" s="3">
        <f>IF(D16=0,0,G16/D16*90)</f>
        <v/>
      </c>
      <c r="I16">
        <f>SUMIF('Match Data'!C:C,A16,'Match Data'!J:J)+SUMIF('Match Data'!D:D,A16,'Match Data'!K:K)</f>
        <v/>
      </c>
      <c r="J16" s="3">
        <f>IF(D16=0,0,I16/D16*90)</f>
        <v/>
      </c>
      <c r="K16" s="3">
        <f>IF(C16=0,0,(SUMIF('Match Data'!C:C,A16,'Match Data'!L:L)+SUMIF('Match Data'!D:D,A16,'Match Data'!M:M))/C16)</f>
        <v/>
      </c>
      <c r="L16">
        <f>SUMIF('Match Data'!C:C,A16,'Match Data'!N:N)+SUMIF('Match Data'!D:D,A16,'Match Data'!O:O)</f>
        <v/>
      </c>
      <c r="M16" s="3">
        <f>IF(D16=0,0,L16/D16*90)</f>
        <v/>
      </c>
      <c r="N16">
        <f>SUMIF('Match Data'!C:C,A16,'Match Data'!P:P)+SUMIF('Match Data'!D:D,A16,'Match Data'!Q:Q)</f>
        <v/>
      </c>
      <c r="O16">
        <f>SUMIF('Match Data'!C:C,A16,'Match Data'!R:R)+SUMIF('Match Data'!D:D,A16,'Match Data'!S:S)</f>
        <v/>
      </c>
      <c r="P16">
        <f>N16*1+O16*2</f>
        <v/>
      </c>
      <c r="Q16" s="3">
        <f>IF(D16=0,0,P16/D16*90)</f>
        <v/>
      </c>
      <c r="R16">
        <f>SUMIF('Match Data'!C:C,A16,'Match Data'!T:T)+SUMIF('Match Data'!D:D,A16,'Match Data'!U:U)</f>
        <v/>
      </c>
      <c r="S16" s="3">
        <f>IF(D16=0,0,R16/D16*90)</f>
        <v/>
      </c>
      <c r="T16">
        <f>SUMIF('Match Data'!C:C,A16,'Match Data'!V:V)+SUMIF('Match Data'!D:D,A16,'Match Data'!W:W)</f>
        <v/>
      </c>
      <c r="U16" s="3">
        <f>IF(D16=0,0,T16/D16*90)</f>
        <v/>
      </c>
      <c r="V16">
        <f>E16-F16</f>
        <v/>
      </c>
    </row>
    <row r="17">
      <c r="A17">
        <f>Participants!B17</f>
        <v/>
      </c>
      <c r="B17">
        <f>Participants!C17</f>
        <v/>
      </c>
      <c r="C17">
        <f>COUNTIFS('Match Data'!C:C,A17,'Match Data'!E:E,"&gt;=0")+COUNTIFS('Match Data'!D:D,A17,'Match Data'!F:F,"&gt;=0")</f>
        <v/>
      </c>
      <c r="D17">
        <f>SUMIF('Match Data'!C:C,A17,'Match Data'!G:G)+SUMIF('Match Data'!D:D,A17,'Match Data'!G:G)</f>
        <v/>
      </c>
      <c r="E17">
        <f>SUMIF('Match Data'!C:C,A17,'Match Data'!E:E)+SUMIF('Match Data'!D:D,A17,'Match Data'!F:F)</f>
        <v/>
      </c>
      <c r="F17">
        <f>SUMIF('Match Data'!C:C,A17,'Match Data'!F:F)+SUMIF('Match Data'!D:D,A17,'Match Data'!E:E)</f>
        <v/>
      </c>
      <c r="G17">
        <f>SUMIF('Match Data'!C:C,A17,'Match Data'!H:H)+SUMIF('Match Data'!D:D,A17,'Match Data'!I:I)</f>
        <v/>
      </c>
      <c r="H17" s="3">
        <f>IF(D17=0,0,G17/D17*90)</f>
        <v/>
      </c>
      <c r="I17">
        <f>SUMIF('Match Data'!C:C,A17,'Match Data'!J:J)+SUMIF('Match Data'!D:D,A17,'Match Data'!K:K)</f>
        <v/>
      </c>
      <c r="J17" s="3">
        <f>IF(D17=0,0,I17/D17*90)</f>
        <v/>
      </c>
      <c r="K17" s="3">
        <f>IF(C17=0,0,(SUMIF('Match Data'!C:C,A17,'Match Data'!L:L)+SUMIF('Match Data'!D:D,A17,'Match Data'!M:M))/C17)</f>
        <v/>
      </c>
      <c r="L17">
        <f>SUMIF('Match Data'!C:C,A17,'Match Data'!N:N)+SUMIF('Match Data'!D:D,A17,'Match Data'!O:O)</f>
        <v/>
      </c>
      <c r="M17" s="3">
        <f>IF(D17=0,0,L17/D17*90)</f>
        <v/>
      </c>
      <c r="N17">
        <f>SUMIF('Match Data'!C:C,A17,'Match Data'!P:P)+SUMIF('Match Data'!D:D,A17,'Match Data'!Q:Q)</f>
        <v/>
      </c>
      <c r="O17">
        <f>SUMIF('Match Data'!C:C,A17,'Match Data'!R:R)+SUMIF('Match Data'!D:D,A17,'Match Data'!S:S)</f>
        <v/>
      </c>
      <c r="P17">
        <f>N17*1+O17*2</f>
        <v/>
      </c>
      <c r="Q17" s="3">
        <f>IF(D17=0,0,P17/D17*90)</f>
        <v/>
      </c>
      <c r="R17">
        <f>SUMIF('Match Data'!C:C,A17,'Match Data'!T:T)+SUMIF('Match Data'!D:D,A17,'Match Data'!U:U)</f>
        <v/>
      </c>
      <c r="S17" s="3">
        <f>IF(D17=0,0,R17/D17*90)</f>
        <v/>
      </c>
      <c r="T17">
        <f>SUMIF('Match Data'!C:C,A17,'Match Data'!V:V)+SUMIF('Match Data'!D:D,A17,'Match Data'!W:W)</f>
        <v/>
      </c>
      <c r="U17" s="3">
        <f>IF(D17=0,0,T17/D17*90)</f>
        <v/>
      </c>
      <c r="V17">
        <f>E17-F17</f>
        <v/>
      </c>
    </row>
    <row r="18">
      <c r="A18">
        <f>Participants!B18</f>
        <v/>
      </c>
      <c r="B18">
        <f>Participants!C18</f>
        <v/>
      </c>
      <c r="C18">
        <f>COUNTIFS('Match Data'!C:C,A18,'Match Data'!E:E,"&gt;=0")+COUNTIFS('Match Data'!D:D,A18,'Match Data'!F:F,"&gt;=0")</f>
        <v/>
      </c>
      <c r="D18">
        <f>SUMIF('Match Data'!C:C,A18,'Match Data'!G:G)+SUMIF('Match Data'!D:D,A18,'Match Data'!G:G)</f>
        <v/>
      </c>
      <c r="E18">
        <f>SUMIF('Match Data'!C:C,A18,'Match Data'!E:E)+SUMIF('Match Data'!D:D,A18,'Match Data'!F:F)</f>
        <v/>
      </c>
      <c r="F18">
        <f>SUMIF('Match Data'!C:C,A18,'Match Data'!F:F)+SUMIF('Match Data'!D:D,A18,'Match Data'!E:E)</f>
        <v/>
      </c>
      <c r="G18">
        <f>SUMIF('Match Data'!C:C,A18,'Match Data'!H:H)+SUMIF('Match Data'!D:D,A18,'Match Data'!I:I)</f>
        <v/>
      </c>
      <c r="H18" s="3">
        <f>IF(D18=0,0,G18/D18*90)</f>
        <v/>
      </c>
      <c r="I18">
        <f>SUMIF('Match Data'!C:C,A18,'Match Data'!J:J)+SUMIF('Match Data'!D:D,A18,'Match Data'!K:K)</f>
        <v/>
      </c>
      <c r="J18" s="3">
        <f>IF(D18=0,0,I18/D18*90)</f>
        <v/>
      </c>
      <c r="K18" s="3">
        <f>IF(C18=0,0,(SUMIF('Match Data'!C:C,A18,'Match Data'!L:L)+SUMIF('Match Data'!D:D,A18,'Match Data'!M:M))/C18)</f>
        <v/>
      </c>
      <c r="L18">
        <f>SUMIF('Match Data'!C:C,A18,'Match Data'!N:N)+SUMIF('Match Data'!D:D,A18,'Match Data'!O:O)</f>
        <v/>
      </c>
      <c r="M18" s="3">
        <f>IF(D18=0,0,L18/D18*90)</f>
        <v/>
      </c>
      <c r="N18">
        <f>SUMIF('Match Data'!C:C,A18,'Match Data'!P:P)+SUMIF('Match Data'!D:D,A18,'Match Data'!Q:Q)</f>
        <v/>
      </c>
      <c r="O18">
        <f>SUMIF('Match Data'!C:C,A18,'Match Data'!R:R)+SUMIF('Match Data'!D:D,A18,'Match Data'!S:S)</f>
        <v/>
      </c>
      <c r="P18">
        <f>N18*1+O18*2</f>
        <v/>
      </c>
      <c r="Q18" s="3">
        <f>IF(D18=0,0,P18/D18*90)</f>
        <v/>
      </c>
      <c r="R18">
        <f>SUMIF('Match Data'!C:C,A18,'Match Data'!T:T)+SUMIF('Match Data'!D:D,A18,'Match Data'!U:U)</f>
        <v/>
      </c>
      <c r="S18" s="3">
        <f>IF(D18=0,0,R18/D18*90)</f>
        <v/>
      </c>
      <c r="T18">
        <f>SUMIF('Match Data'!C:C,A18,'Match Data'!V:V)+SUMIF('Match Data'!D:D,A18,'Match Data'!W:W)</f>
        <v/>
      </c>
      <c r="U18" s="3">
        <f>IF(D18=0,0,T18/D18*90)</f>
        <v/>
      </c>
      <c r="V18">
        <f>E18-F18</f>
        <v/>
      </c>
    </row>
    <row r="19">
      <c r="A19">
        <f>Participants!B19</f>
        <v/>
      </c>
      <c r="B19">
        <f>Participants!C19</f>
        <v/>
      </c>
      <c r="C19">
        <f>COUNTIFS('Match Data'!C:C,A19,'Match Data'!E:E,"&gt;=0")+COUNTIFS('Match Data'!D:D,A19,'Match Data'!F:F,"&gt;=0")</f>
        <v/>
      </c>
      <c r="D19">
        <f>SUMIF('Match Data'!C:C,A19,'Match Data'!G:G)+SUMIF('Match Data'!D:D,A19,'Match Data'!G:G)</f>
        <v/>
      </c>
      <c r="E19">
        <f>SUMIF('Match Data'!C:C,A19,'Match Data'!E:E)+SUMIF('Match Data'!D:D,A19,'Match Data'!F:F)</f>
        <v/>
      </c>
      <c r="F19">
        <f>SUMIF('Match Data'!C:C,A19,'Match Data'!F:F)+SUMIF('Match Data'!D:D,A19,'Match Data'!E:E)</f>
        <v/>
      </c>
      <c r="G19">
        <f>SUMIF('Match Data'!C:C,A19,'Match Data'!H:H)+SUMIF('Match Data'!D:D,A19,'Match Data'!I:I)</f>
        <v/>
      </c>
      <c r="H19" s="3">
        <f>IF(D19=0,0,G19/D19*90)</f>
        <v/>
      </c>
      <c r="I19">
        <f>SUMIF('Match Data'!C:C,A19,'Match Data'!J:J)+SUMIF('Match Data'!D:D,A19,'Match Data'!K:K)</f>
        <v/>
      </c>
      <c r="J19" s="3">
        <f>IF(D19=0,0,I19/D19*90)</f>
        <v/>
      </c>
      <c r="K19" s="3">
        <f>IF(C19=0,0,(SUMIF('Match Data'!C:C,A19,'Match Data'!L:L)+SUMIF('Match Data'!D:D,A19,'Match Data'!M:M))/C19)</f>
        <v/>
      </c>
      <c r="L19">
        <f>SUMIF('Match Data'!C:C,A19,'Match Data'!N:N)+SUMIF('Match Data'!D:D,A19,'Match Data'!O:O)</f>
        <v/>
      </c>
      <c r="M19" s="3">
        <f>IF(D19=0,0,L19/D19*90)</f>
        <v/>
      </c>
      <c r="N19">
        <f>SUMIF('Match Data'!C:C,A19,'Match Data'!P:P)+SUMIF('Match Data'!D:D,A19,'Match Data'!Q:Q)</f>
        <v/>
      </c>
      <c r="O19">
        <f>SUMIF('Match Data'!C:C,A19,'Match Data'!R:R)+SUMIF('Match Data'!D:D,A19,'Match Data'!S:S)</f>
        <v/>
      </c>
      <c r="P19">
        <f>N19*1+O19*2</f>
        <v/>
      </c>
      <c r="Q19" s="3">
        <f>IF(D19=0,0,P19/D19*90)</f>
        <v/>
      </c>
      <c r="R19">
        <f>SUMIF('Match Data'!C:C,A19,'Match Data'!T:T)+SUMIF('Match Data'!D:D,A19,'Match Data'!U:U)</f>
        <v/>
      </c>
      <c r="S19" s="3">
        <f>IF(D19=0,0,R19/D19*90)</f>
        <v/>
      </c>
      <c r="T19">
        <f>SUMIF('Match Data'!C:C,A19,'Match Data'!V:V)+SUMIF('Match Data'!D:D,A19,'Match Data'!W:W)</f>
        <v/>
      </c>
      <c r="U19" s="3">
        <f>IF(D19=0,0,T19/D19*90)</f>
        <v/>
      </c>
      <c r="V19">
        <f>E19-F19</f>
        <v/>
      </c>
    </row>
    <row r="20">
      <c r="A20">
        <f>Participants!B20</f>
        <v/>
      </c>
      <c r="B20">
        <f>Participants!C20</f>
        <v/>
      </c>
      <c r="C20">
        <f>COUNTIFS('Match Data'!C:C,A20,'Match Data'!E:E,"&gt;=0")+COUNTIFS('Match Data'!D:D,A20,'Match Data'!F:F,"&gt;=0")</f>
        <v/>
      </c>
      <c r="D20">
        <f>SUMIF('Match Data'!C:C,A20,'Match Data'!G:G)+SUMIF('Match Data'!D:D,A20,'Match Data'!G:G)</f>
        <v/>
      </c>
      <c r="E20">
        <f>SUMIF('Match Data'!C:C,A20,'Match Data'!E:E)+SUMIF('Match Data'!D:D,A20,'Match Data'!F:F)</f>
        <v/>
      </c>
      <c r="F20">
        <f>SUMIF('Match Data'!C:C,A20,'Match Data'!F:F)+SUMIF('Match Data'!D:D,A20,'Match Data'!E:E)</f>
        <v/>
      </c>
      <c r="G20">
        <f>SUMIF('Match Data'!C:C,A20,'Match Data'!H:H)+SUMIF('Match Data'!D:D,A20,'Match Data'!I:I)</f>
        <v/>
      </c>
      <c r="H20" s="3">
        <f>IF(D20=0,0,G20/D20*90)</f>
        <v/>
      </c>
      <c r="I20">
        <f>SUMIF('Match Data'!C:C,A20,'Match Data'!J:J)+SUMIF('Match Data'!D:D,A20,'Match Data'!K:K)</f>
        <v/>
      </c>
      <c r="J20" s="3">
        <f>IF(D20=0,0,I20/D20*90)</f>
        <v/>
      </c>
      <c r="K20" s="3">
        <f>IF(C20=0,0,(SUMIF('Match Data'!C:C,A20,'Match Data'!L:L)+SUMIF('Match Data'!D:D,A20,'Match Data'!M:M))/C20)</f>
        <v/>
      </c>
      <c r="L20">
        <f>SUMIF('Match Data'!C:C,A20,'Match Data'!N:N)+SUMIF('Match Data'!D:D,A20,'Match Data'!O:O)</f>
        <v/>
      </c>
      <c r="M20" s="3">
        <f>IF(D20=0,0,L20/D20*90)</f>
        <v/>
      </c>
      <c r="N20">
        <f>SUMIF('Match Data'!C:C,A20,'Match Data'!P:P)+SUMIF('Match Data'!D:D,A20,'Match Data'!Q:Q)</f>
        <v/>
      </c>
      <c r="O20">
        <f>SUMIF('Match Data'!C:C,A20,'Match Data'!R:R)+SUMIF('Match Data'!D:D,A20,'Match Data'!S:S)</f>
        <v/>
      </c>
      <c r="P20">
        <f>N20*1+O20*2</f>
        <v/>
      </c>
      <c r="Q20" s="3">
        <f>IF(D20=0,0,P20/D20*90)</f>
        <v/>
      </c>
      <c r="R20">
        <f>SUMIF('Match Data'!C:C,A20,'Match Data'!T:T)+SUMIF('Match Data'!D:D,A20,'Match Data'!U:U)</f>
        <v/>
      </c>
      <c r="S20" s="3">
        <f>IF(D20=0,0,R20/D20*90)</f>
        <v/>
      </c>
      <c r="T20">
        <f>SUMIF('Match Data'!C:C,A20,'Match Data'!V:V)+SUMIF('Match Data'!D:D,A20,'Match Data'!W:W)</f>
        <v/>
      </c>
      <c r="U20" s="3">
        <f>IF(D20=0,0,T20/D20*90)</f>
        <v/>
      </c>
      <c r="V20">
        <f>E20-F20</f>
        <v/>
      </c>
    </row>
    <row r="21">
      <c r="A21">
        <f>Participants!B21</f>
        <v/>
      </c>
      <c r="B21">
        <f>Participants!C21</f>
        <v/>
      </c>
      <c r="C21">
        <f>COUNTIFS('Match Data'!C:C,A21,'Match Data'!E:E,"&gt;=0")+COUNTIFS('Match Data'!D:D,A21,'Match Data'!F:F,"&gt;=0")</f>
        <v/>
      </c>
      <c r="D21">
        <f>SUMIF('Match Data'!C:C,A21,'Match Data'!G:G)+SUMIF('Match Data'!D:D,A21,'Match Data'!G:G)</f>
        <v/>
      </c>
      <c r="E21">
        <f>SUMIF('Match Data'!C:C,A21,'Match Data'!E:E)+SUMIF('Match Data'!D:D,A21,'Match Data'!F:F)</f>
        <v/>
      </c>
      <c r="F21">
        <f>SUMIF('Match Data'!C:C,A21,'Match Data'!F:F)+SUMIF('Match Data'!D:D,A21,'Match Data'!E:E)</f>
        <v/>
      </c>
      <c r="G21">
        <f>SUMIF('Match Data'!C:C,A21,'Match Data'!H:H)+SUMIF('Match Data'!D:D,A21,'Match Data'!I:I)</f>
        <v/>
      </c>
      <c r="H21" s="3">
        <f>IF(D21=0,0,G21/D21*90)</f>
        <v/>
      </c>
      <c r="I21">
        <f>SUMIF('Match Data'!C:C,A21,'Match Data'!J:J)+SUMIF('Match Data'!D:D,A21,'Match Data'!K:K)</f>
        <v/>
      </c>
      <c r="J21" s="3">
        <f>IF(D21=0,0,I21/D21*90)</f>
        <v/>
      </c>
      <c r="K21" s="3">
        <f>IF(C21=0,0,(SUMIF('Match Data'!C:C,A21,'Match Data'!L:L)+SUMIF('Match Data'!D:D,A21,'Match Data'!M:M))/C21)</f>
        <v/>
      </c>
      <c r="L21">
        <f>SUMIF('Match Data'!C:C,A21,'Match Data'!N:N)+SUMIF('Match Data'!D:D,A21,'Match Data'!O:O)</f>
        <v/>
      </c>
      <c r="M21" s="3">
        <f>IF(D21=0,0,L21/D21*90)</f>
        <v/>
      </c>
      <c r="N21">
        <f>SUMIF('Match Data'!C:C,A21,'Match Data'!P:P)+SUMIF('Match Data'!D:D,A21,'Match Data'!Q:Q)</f>
        <v/>
      </c>
      <c r="O21">
        <f>SUMIF('Match Data'!C:C,A21,'Match Data'!R:R)+SUMIF('Match Data'!D:D,A21,'Match Data'!S:S)</f>
        <v/>
      </c>
      <c r="P21">
        <f>N21*1+O21*2</f>
        <v/>
      </c>
      <c r="Q21" s="3">
        <f>IF(D21=0,0,P21/D21*90)</f>
        <v/>
      </c>
      <c r="R21">
        <f>SUMIF('Match Data'!C:C,A21,'Match Data'!T:T)+SUMIF('Match Data'!D:D,A21,'Match Data'!U:U)</f>
        <v/>
      </c>
      <c r="S21" s="3">
        <f>IF(D21=0,0,R21/D21*90)</f>
        <v/>
      </c>
      <c r="T21">
        <f>SUMIF('Match Data'!C:C,A21,'Match Data'!V:V)+SUMIF('Match Data'!D:D,A21,'Match Data'!W:W)</f>
        <v/>
      </c>
      <c r="U21" s="3">
        <f>IF(D21=0,0,T21/D21*90)</f>
        <v/>
      </c>
      <c r="V21">
        <f>E21-F21</f>
        <v/>
      </c>
    </row>
    <row r="22">
      <c r="A22">
        <f>Participants!B22</f>
        <v/>
      </c>
      <c r="B22">
        <f>Participants!C22</f>
        <v/>
      </c>
      <c r="C22">
        <f>COUNTIFS('Match Data'!C:C,A22,'Match Data'!E:E,"&gt;=0")+COUNTIFS('Match Data'!D:D,A22,'Match Data'!F:F,"&gt;=0")</f>
        <v/>
      </c>
      <c r="D22">
        <f>SUMIF('Match Data'!C:C,A22,'Match Data'!G:G)+SUMIF('Match Data'!D:D,A22,'Match Data'!G:G)</f>
        <v/>
      </c>
      <c r="E22">
        <f>SUMIF('Match Data'!C:C,A22,'Match Data'!E:E)+SUMIF('Match Data'!D:D,A22,'Match Data'!F:F)</f>
        <v/>
      </c>
      <c r="F22">
        <f>SUMIF('Match Data'!C:C,A22,'Match Data'!F:F)+SUMIF('Match Data'!D:D,A22,'Match Data'!E:E)</f>
        <v/>
      </c>
      <c r="G22">
        <f>SUMIF('Match Data'!C:C,A22,'Match Data'!H:H)+SUMIF('Match Data'!D:D,A22,'Match Data'!I:I)</f>
        <v/>
      </c>
      <c r="H22" s="3">
        <f>IF(D22=0,0,G22/D22*90)</f>
        <v/>
      </c>
      <c r="I22">
        <f>SUMIF('Match Data'!C:C,A22,'Match Data'!J:J)+SUMIF('Match Data'!D:D,A22,'Match Data'!K:K)</f>
        <v/>
      </c>
      <c r="J22" s="3">
        <f>IF(D22=0,0,I22/D22*90)</f>
        <v/>
      </c>
      <c r="K22" s="3">
        <f>IF(C22=0,0,(SUMIF('Match Data'!C:C,A22,'Match Data'!L:L)+SUMIF('Match Data'!D:D,A22,'Match Data'!M:M))/C22)</f>
        <v/>
      </c>
      <c r="L22">
        <f>SUMIF('Match Data'!C:C,A22,'Match Data'!N:N)+SUMIF('Match Data'!D:D,A22,'Match Data'!O:O)</f>
        <v/>
      </c>
      <c r="M22" s="3">
        <f>IF(D22=0,0,L22/D22*90)</f>
        <v/>
      </c>
      <c r="N22">
        <f>SUMIF('Match Data'!C:C,A22,'Match Data'!P:P)+SUMIF('Match Data'!D:D,A22,'Match Data'!Q:Q)</f>
        <v/>
      </c>
      <c r="O22">
        <f>SUMIF('Match Data'!C:C,A22,'Match Data'!R:R)+SUMIF('Match Data'!D:D,A22,'Match Data'!S:S)</f>
        <v/>
      </c>
      <c r="P22">
        <f>N22*1+O22*2</f>
        <v/>
      </c>
      <c r="Q22" s="3">
        <f>IF(D22=0,0,P22/D22*90)</f>
        <v/>
      </c>
      <c r="R22">
        <f>SUMIF('Match Data'!C:C,A22,'Match Data'!T:T)+SUMIF('Match Data'!D:D,A22,'Match Data'!U:U)</f>
        <v/>
      </c>
      <c r="S22" s="3">
        <f>IF(D22=0,0,R22/D22*90)</f>
        <v/>
      </c>
      <c r="T22">
        <f>SUMIF('Match Data'!C:C,A22,'Match Data'!V:V)+SUMIF('Match Data'!D:D,A22,'Match Data'!W:W)</f>
        <v/>
      </c>
      <c r="U22" s="3">
        <f>IF(D22=0,0,T22/D22*90)</f>
        <v/>
      </c>
      <c r="V22">
        <f>E22-F22</f>
        <v/>
      </c>
    </row>
    <row r="23">
      <c r="A23">
        <f>Participants!B23</f>
        <v/>
      </c>
      <c r="B23">
        <f>Participants!C23</f>
        <v/>
      </c>
      <c r="C23">
        <f>COUNTIFS('Match Data'!C:C,A23,'Match Data'!E:E,"&gt;=0")+COUNTIFS('Match Data'!D:D,A23,'Match Data'!F:F,"&gt;=0")</f>
        <v/>
      </c>
      <c r="D23">
        <f>SUMIF('Match Data'!C:C,A23,'Match Data'!G:G)+SUMIF('Match Data'!D:D,A23,'Match Data'!G:G)</f>
        <v/>
      </c>
      <c r="E23">
        <f>SUMIF('Match Data'!C:C,A23,'Match Data'!E:E)+SUMIF('Match Data'!D:D,A23,'Match Data'!F:F)</f>
        <v/>
      </c>
      <c r="F23">
        <f>SUMIF('Match Data'!C:C,A23,'Match Data'!F:F)+SUMIF('Match Data'!D:D,A23,'Match Data'!E:E)</f>
        <v/>
      </c>
      <c r="G23">
        <f>SUMIF('Match Data'!C:C,A23,'Match Data'!H:H)+SUMIF('Match Data'!D:D,A23,'Match Data'!I:I)</f>
        <v/>
      </c>
      <c r="H23" s="3">
        <f>IF(D23=0,0,G23/D23*90)</f>
        <v/>
      </c>
      <c r="I23">
        <f>SUMIF('Match Data'!C:C,A23,'Match Data'!J:J)+SUMIF('Match Data'!D:D,A23,'Match Data'!K:K)</f>
        <v/>
      </c>
      <c r="J23" s="3">
        <f>IF(D23=0,0,I23/D23*90)</f>
        <v/>
      </c>
      <c r="K23" s="3">
        <f>IF(C23=0,0,(SUMIF('Match Data'!C:C,A23,'Match Data'!L:L)+SUMIF('Match Data'!D:D,A23,'Match Data'!M:M))/C23)</f>
        <v/>
      </c>
      <c r="L23">
        <f>SUMIF('Match Data'!C:C,A23,'Match Data'!N:N)+SUMIF('Match Data'!D:D,A23,'Match Data'!O:O)</f>
        <v/>
      </c>
      <c r="M23" s="3">
        <f>IF(D23=0,0,L23/D23*90)</f>
        <v/>
      </c>
      <c r="N23">
        <f>SUMIF('Match Data'!C:C,A23,'Match Data'!P:P)+SUMIF('Match Data'!D:D,A23,'Match Data'!Q:Q)</f>
        <v/>
      </c>
      <c r="O23">
        <f>SUMIF('Match Data'!C:C,A23,'Match Data'!R:R)+SUMIF('Match Data'!D:D,A23,'Match Data'!S:S)</f>
        <v/>
      </c>
      <c r="P23">
        <f>N23*1+O23*2</f>
        <v/>
      </c>
      <c r="Q23" s="3">
        <f>IF(D23=0,0,P23/D23*90)</f>
        <v/>
      </c>
      <c r="R23">
        <f>SUMIF('Match Data'!C:C,A23,'Match Data'!T:T)+SUMIF('Match Data'!D:D,A23,'Match Data'!U:U)</f>
        <v/>
      </c>
      <c r="S23" s="3">
        <f>IF(D23=0,0,R23/D23*90)</f>
        <v/>
      </c>
      <c r="T23">
        <f>SUMIF('Match Data'!C:C,A23,'Match Data'!V:V)+SUMIF('Match Data'!D:D,A23,'Match Data'!W:W)</f>
        <v/>
      </c>
      <c r="U23" s="3">
        <f>IF(D23=0,0,T23/D23*90)</f>
        <v/>
      </c>
      <c r="V23">
        <f>E23-F23</f>
        <v/>
      </c>
    </row>
    <row r="24">
      <c r="A24">
        <f>Participants!B24</f>
        <v/>
      </c>
      <c r="B24">
        <f>Participants!C24</f>
        <v/>
      </c>
      <c r="C24">
        <f>COUNTIFS('Match Data'!C:C,A24,'Match Data'!E:E,"&gt;=0")+COUNTIFS('Match Data'!D:D,A24,'Match Data'!F:F,"&gt;=0")</f>
        <v/>
      </c>
      <c r="D24">
        <f>SUMIF('Match Data'!C:C,A24,'Match Data'!G:G)+SUMIF('Match Data'!D:D,A24,'Match Data'!G:G)</f>
        <v/>
      </c>
      <c r="E24">
        <f>SUMIF('Match Data'!C:C,A24,'Match Data'!E:E)+SUMIF('Match Data'!D:D,A24,'Match Data'!F:F)</f>
        <v/>
      </c>
      <c r="F24">
        <f>SUMIF('Match Data'!C:C,A24,'Match Data'!F:F)+SUMIF('Match Data'!D:D,A24,'Match Data'!E:E)</f>
        <v/>
      </c>
      <c r="G24">
        <f>SUMIF('Match Data'!C:C,A24,'Match Data'!H:H)+SUMIF('Match Data'!D:D,A24,'Match Data'!I:I)</f>
        <v/>
      </c>
      <c r="H24" s="3">
        <f>IF(D24=0,0,G24/D24*90)</f>
        <v/>
      </c>
      <c r="I24">
        <f>SUMIF('Match Data'!C:C,A24,'Match Data'!J:J)+SUMIF('Match Data'!D:D,A24,'Match Data'!K:K)</f>
        <v/>
      </c>
      <c r="J24" s="3">
        <f>IF(D24=0,0,I24/D24*90)</f>
        <v/>
      </c>
      <c r="K24" s="3">
        <f>IF(C24=0,0,(SUMIF('Match Data'!C:C,A24,'Match Data'!L:L)+SUMIF('Match Data'!D:D,A24,'Match Data'!M:M))/C24)</f>
        <v/>
      </c>
      <c r="L24">
        <f>SUMIF('Match Data'!C:C,A24,'Match Data'!N:N)+SUMIF('Match Data'!D:D,A24,'Match Data'!O:O)</f>
        <v/>
      </c>
      <c r="M24" s="3">
        <f>IF(D24=0,0,L24/D24*90)</f>
        <v/>
      </c>
      <c r="N24">
        <f>SUMIF('Match Data'!C:C,A24,'Match Data'!P:P)+SUMIF('Match Data'!D:D,A24,'Match Data'!Q:Q)</f>
        <v/>
      </c>
      <c r="O24">
        <f>SUMIF('Match Data'!C:C,A24,'Match Data'!R:R)+SUMIF('Match Data'!D:D,A24,'Match Data'!S:S)</f>
        <v/>
      </c>
      <c r="P24">
        <f>N24*1+O24*2</f>
        <v/>
      </c>
      <c r="Q24" s="3">
        <f>IF(D24=0,0,P24/D24*90)</f>
        <v/>
      </c>
      <c r="R24">
        <f>SUMIF('Match Data'!C:C,A24,'Match Data'!T:T)+SUMIF('Match Data'!D:D,A24,'Match Data'!U:U)</f>
        <v/>
      </c>
      <c r="S24" s="3">
        <f>IF(D24=0,0,R24/D24*90)</f>
        <v/>
      </c>
      <c r="T24">
        <f>SUMIF('Match Data'!C:C,A24,'Match Data'!V:V)+SUMIF('Match Data'!D:D,A24,'Match Data'!W:W)</f>
        <v/>
      </c>
      <c r="U24" s="3">
        <f>IF(D24=0,0,T24/D24*90)</f>
        <v/>
      </c>
      <c r="V24">
        <f>E24-F24</f>
        <v/>
      </c>
    </row>
    <row r="25">
      <c r="A25">
        <f>Participants!B25</f>
        <v/>
      </c>
      <c r="B25">
        <f>Participants!C25</f>
        <v/>
      </c>
      <c r="C25">
        <f>COUNTIFS('Match Data'!C:C,A25,'Match Data'!E:E,"&gt;=0")+COUNTIFS('Match Data'!D:D,A25,'Match Data'!F:F,"&gt;=0")</f>
        <v/>
      </c>
      <c r="D25">
        <f>SUMIF('Match Data'!C:C,A25,'Match Data'!G:G)+SUMIF('Match Data'!D:D,A25,'Match Data'!G:G)</f>
        <v/>
      </c>
      <c r="E25">
        <f>SUMIF('Match Data'!C:C,A25,'Match Data'!E:E)+SUMIF('Match Data'!D:D,A25,'Match Data'!F:F)</f>
        <v/>
      </c>
      <c r="F25">
        <f>SUMIF('Match Data'!C:C,A25,'Match Data'!F:F)+SUMIF('Match Data'!D:D,A25,'Match Data'!E:E)</f>
        <v/>
      </c>
      <c r="G25">
        <f>SUMIF('Match Data'!C:C,A25,'Match Data'!H:H)+SUMIF('Match Data'!D:D,A25,'Match Data'!I:I)</f>
        <v/>
      </c>
      <c r="H25" s="3">
        <f>IF(D25=0,0,G25/D25*90)</f>
        <v/>
      </c>
      <c r="I25">
        <f>SUMIF('Match Data'!C:C,A25,'Match Data'!J:J)+SUMIF('Match Data'!D:D,A25,'Match Data'!K:K)</f>
        <v/>
      </c>
      <c r="J25" s="3">
        <f>IF(D25=0,0,I25/D25*90)</f>
        <v/>
      </c>
      <c r="K25" s="3">
        <f>IF(C25=0,0,(SUMIF('Match Data'!C:C,A25,'Match Data'!L:L)+SUMIF('Match Data'!D:D,A25,'Match Data'!M:M))/C25)</f>
        <v/>
      </c>
      <c r="L25">
        <f>SUMIF('Match Data'!C:C,A25,'Match Data'!N:N)+SUMIF('Match Data'!D:D,A25,'Match Data'!O:O)</f>
        <v/>
      </c>
      <c r="M25" s="3">
        <f>IF(D25=0,0,L25/D25*90)</f>
        <v/>
      </c>
      <c r="N25">
        <f>SUMIF('Match Data'!C:C,A25,'Match Data'!P:P)+SUMIF('Match Data'!D:D,A25,'Match Data'!Q:Q)</f>
        <v/>
      </c>
      <c r="O25">
        <f>SUMIF('Match Data'!C:C,A25,'Match Data'!R:R)+SUMIF('Match Data'!D:D,A25,'Match Data'!S:S)</f>
        <v/>
      </c>
      <c r="P25">
        <f>N25*1+O25*2</f>
        <v/>
      </c>
      <c r="Q25" s="3">
        <f>IF(D25=0,0,P25/D25*90)</f>
        <v/>
      </c>
      <c r="R25">
        <f>SUMIF('Match Data'!C:C,A25,'Match Data'!T:T)+SUMIF('Match Data'!D:D,A25,'Match Data'!U:U)</f>
        <v/>
      </c>
      <c r="S25" s="3">
        <f>IF(D25=0,0,R25/D25*90)</f>
        <v/>
      </c>
      <c r="T25">
        <f>SUMIF('Match Data'!C:C,A25,'Match Data'!V:V)+SUMIF('Match Data'!D:D,A25,'Match Data'!W:W)</f>
        <v/>
      </c>
      <c r="U25" s="3">
        <f>IF(D25=0,0,T25/D25*90)</f>
        <v/>
      </c>
      <c r="V25">
        <f>E25-F25</f>
        <v/>
      </c>
    </row>
    <row r="26">
      <c r="A26">
        <f>Participants!B26</f>
        <v/>
      </c>
      <c r="B26">
        <f>Participants!C26</f>
        <v/>
      </c>
      <c r="C26">
        <f>COUNTIFS('Match Data'!C:C,A26,'Match Data'!E:E,"&gt;=0")+COUNTIFS('Match Data'!D:D,A26,'Match Data'!F:F,"&gt;=0")</f>
        <v/>
      </c>
      <c r="D26">
        <f>SUMIF('Match Data'!C:C,A26,'Match Data'!G:G)+SUMIF('Match Data'!D:D,A26,'Match Data'!G:G)</f>
        <v/>
      </c>
      <c r="E26">
        <f>SUMIF('Match Data'!C:C,A26,'Match Data'!E:E)+SUMIF('Match Data'!D:D,A26,'Match Data'!F:F)</f>
        <v/>
      </c>
      <c r="F26">
        <f>SUMIF('Match Data'!C:C,A26,'Match Data'!F:F)+SUMIF('Match Data'!D:D,A26,'Match Data'!E:E)</f>
        <v/>
      </c>
      <c r="G26">
        <f>SUMIF('Match Data'!C:C,A26,'Match Data'!H:H)+SUMIF('Match Data'!D:D,A26,'Match Data'!I:I)</f>
        <v/>
      </c>
      <c r="H26" s="3">
        <f>IF(D26=0,0,G26/D26*90)</f>
        <v/>
      </c>
      <c r="I26">
        <f>SUMIF('Match Data'!C:C,A26,'Match Data'!J:J)+SUMIF('Match Data'!D:D,A26,'Match Data'!K:K)</f>
        <v/>
      </c>
      <c r="J26" s="3">
        <f>IF(D26=0,0,I26/D26*90)</f>
        <v/>
      </c>
      <c r="K26" s="3">
        <f>IF(C26=0,0,(SUMIF('Match Data'!C:C,A26,'Match Data'!L:L)+SUMIF('Match Data'!D:D,A26,'Match Data'!M:M))/C26)</f>
        <v/>
      </c>
      <c r="L26">
        <f>SUMIF('Match Data'!C:C,A26,'Match Data'!N:N)+SUMIF('Match Data'!D:D,A26,'Match Data'!O:O)</f>
        <v/>
      </c>
      <c r="M26" s="3">
        <f>IF(D26=0,0,L26/D26*90)</f>
        <v/>
      </c>
      <c r="N26">
        <f>SUMIF('Match Data'!C:C,A26,'Match Data'!P:P)+SUMIF('Match Data'!D:D,A26,'Match Data'!Q:Q)</f>
        <v/>
      </c>
      <c r="O26">
        <f>SUMIF('Match Data'!C:C,A26,'Match Data'!R:R)+SUMIF('Match Data'!D:D,A26,'Match Data'!S:S)</f>
        <v/>
      </c>
      <c r="P26">
        <f>N26*1+O26*2</f>
        <v/>
      </c>
      <c r="Q26" s="3">
        <f>IF(D26=0,0,P26/D26*90)</f>
        <v/>
      </c>
      <c r="R26">
        <f>SUMIF('Match Data'!C:C,A26,'Match Data'!T:T)+SUMIF('Match Data'!D:D,A26,'Match Data'!U:U)</f>
        <v/>
      </c>
      <c r="S26" s="3">
        <f>IF(D26=0,0,R26/D26*90)</f>
        <v/>
      </c>
      <c r="T26">
        <f>SUMIF('Match Data'!C:C,A26,'Match Data'!V:V)+SUMIF('Match Data'!D:D,A26,'Match Data'!W:W)</f>
        <v/>
      </c>
      <c r="U26" s="3">
        <f>IF(D26=0,0,T26/D26*90)</f>
        <v/>
      </c>
      <c r="V26">
        <f>E26-F26</f>
        <v/>
      </c>
    </row>
    <row r="27">
      <c r="A27">
        <f>Participants!B27</f>
        <v/>
      </c>
      <c r="B27">
        <f>Participants!C27</f>
        <v/>
      </c>
      <c r="C27">
        <f>COUNTIFS('Match Data'!C:C,A27,'Match Data'!E:E,"&gt;=0")+COUNTIFS('Match Data'!D:D,A27,'Match Data'!F:F,"&gt;=0")</f>
        <v/>
      </c>
      <c r="D27">
        <f>SUMIF('Match Data'!C:C,A27,'Match Data'!G:G)+SUMIF('Match Data'!D:D,A27,'Match Data'!G:G)</f>
        <v/>
      </c>
      <c r="E27">
        <f>SUMIF('Match Data'!C:C,A27,'Match Data'!E:E)+SUMIF('Match Data'!D:D,A27,'Match Data'!F:F)</f>
        <v/>
      </c>
      <c r="F27">
        <f>SUMIF('Match Data'!C:C,A27,'Match Data'!F:F)+SUMIF('Match Data'!D:D,A27,'Match Data'!E:E)</f>
        <v/>
      </c>
      <c r="G27">
        <f>SUMIF('Match Data'!C:C,A27,'Match Data'!H:H)+SUMIF('Match Data'!D:D,A27,'Match Data'!I:I)</f>
        <v/>
      </c>
      <c r="H27" s="3">
        <f>IF(D27=0,0,G27/D27*90)</f>
        <v/>
      </c>
      <c r="I27">
        <f>SUMIF('Match Data'!C:C,A27,'Match Data'!J:J)+SUMIF('Match Data'!D:D,A27,'Match Data'!K:K)</f>
        <v/>
      </c>
      <c r="J27" s="3">
        <f>IF(D27=0,0,I27/D27*90)</f>
        <v/>
      </c>
      <c r="K27" s="3">
        <f>IF(C27=0,0,(SUMIF('Match Data'!C:C,A27,'Match Data'!L:L)+SUMIF('Match Data'!D:D,A27,'Match Data'!M:M))/C27)</f>
        <v/>
      </c>
      <c r="L27">
        <f>SUMIF('Match Data'!C:C,A27,'Match Data'!N:N)+SUMIF('Match Data'!D:D,A27,'Match Data'!O:O)</f>
        <v/>
      </c>
      <c r="M27" s="3">
        <f>IF(D27=0,0,L27/D27*90)</f>
        <v/>
      </c>
      <c r="N27">
        <f>SUMIF('Match Data'!C:C,A27,'Match Data'!P:P)+SUMIF('Match Data'!D:D,A27,'Match Data'!Q:Q)</f>
        <v/>
      </c>
      <c r="O27">
        <f>SUMIF('Match Data'!C:C,A27,'Match Data'!R:R)+SUMIF('Match Data'!D:D,A27,'Match Data'!S:S)</f>
        <v/>
      </c>
      <c r="P27">
        <f>N27*1+O27*2</f>
        <v/>
      </c>
      <c r="Q27" s="3">
        <f>IF(D27=0,0,P27/D27*90)</f>
        <v/>
      </c>
      <c r="R27">
        <f>SUMIF('Match Data'!C:C,A27,'Match Data'!T:T)+SUMIF('Match Data'!D:D,A27,'Match Data'!U:U)</f>
        <v/>
      </c>
      <c r="S27" s="3">
        <f>IF(D27=0,0,R27/D27*90)</f>
        <v/>
      </c>
      <c r="T27">
        <f>SUMIF('Match Data'!C:C,A27,'Match Data'!V:V)+SUMIF('Match Data'!D:D,A27,'Match Data'!W:W)</f>
        <v/>
      </c>
      <c r="U27" s="3">
        <f>IF(D27=0,0,T27/D27*90)</f>
        <v/>
      </c>
      <c r="V27">
        <f>E27-F27</f>
        <v/>
      </c>
    </row>
    <row r="28">
      <c r="A28">
        <f>Participants!B28</f>
        <v/>
      </c>
      <c r="B28">
        <f>Participants!C28</f>
        <v/>
      </c>
      <c r="C28">
        <f>COUNTIFS('Match Data'!C:C,A28,'Match Data'!E:E,"&gt;=0")+COUNTIFS('Match Data'!D:D,A28,'Match Data'!F:F,"&gt;=0")</f>
        <v/>
      </c>
      <c r="D28">
        <f>SUMIF('Match Data'!C:C,A28,'Match Data'!G:G)+SUMIF('Match Data'!D:D,A28,'Match Data'!G:G)</f>
        <v/>
      </c>
      <c r="E28">
        <f>SUMIF('Match Data'!C:C,A28,'Match Data'!E:E)+SUMIF('Match Data'!D:D,A28,'Match Data'!F:F)</f>
        <v/>
      </c>
      <c r="F28">
        <f>SUMIF('Match Data'!C:C,A28,'Match Data'!F:F)+SUMIF('Match Data'!D:D,A28,'Match Data'!E:E)</f>
        <v/>
      </c>
      <c r="G28">
        <f>SUMIF('Match Data'!C:C,A28,'Match Data'!H:H)+SUMIF('Match Data'!D:D,A28,'Match Data'!I:I)</f>
        <v/>
      </c>
      <c r="H28" s="3">
        <f>IF(D28=0,0,G28/D28*90)</f>
        <v/>
      </c>
      <c r="I28">
        <f>SUMIF('Match Data'!C:C,A28,'Match Data'!J:J)+SUMIF('Match Data'!D:D,A28,'Match Data'!K:K)</f>
        <v/>
      </c>
      <c r="J28" s="3">
        <f>IF(D28=0,0,I28/D28*90)</f>
        <v/>
      </c>
      <c r="K28" s="3">
        <f>IF(C28=0,0,(SUMIF('Match Data'!C:C,A28,'Match Data'!L:L)+SUMIF('Match Data'!D:D,A28,'Match Data'!M:M))/C28)</f>
        <v/>
      </c>
      <c r="L28">
        <f>SUMIF('Match Data'!C:C,A28,'Match Data'!N:N)+SUMIF('Match Data'!D:D,A28,'Match Data'!O:O)</f>
        <v/>
      </c>
      <c r="M28" s="3">
        <f>IF(D28=0,0,L28/D28*90)</f>
        <v/>
      </c>
      <c r="N28">
        <f>SUMIF('Match Data'!C:C,A28,'Match Data'!P:P)+SUMIF('Match Data'!D:D,A28,'Match Data'!Q:Q)</f>
        <v/>
      </c>
      <c r="O28">
        <f>SUMIF('Match Data'!C:C,A28,'Match Data'!R:R)+SUMIF('Match Data'!D:D,A28,'Match Data'!S:S)</f>
        <v/>
      </c>
      <c r="P28">
        <f>N28*1+O28*2</f>
        <v/>
      </c>
      <c r="Q28" s="3">
        <f>IF(D28=0,0,P28/D28*90)</f>
        <v/>
      </c>
      <c r="R28">
        <f>SUMIF('Match Data'!C:C,A28,'Match Data'!T:T)+SUMIF('Match Data'!D:D,A28,'Match Data'!U:U)</f>
        <v/>
      </c>
      <c r="S28" s="3">
        <f>IF(D28=0,0,R28/D28*90)</f>
        <v/>
      </c>
      <c r="T28">
        <f>SUMIF('Match Data'!C:C,A28,'Match Data'!V:V)+SUMIF('Match Data'!D:D,A28,'Match Data'!W:W)</f>
        <v/>
      </c>
      <c r="U28" s="3">
        <f>IF(D28=0,0,T28/D28*90)</f>
        <v/>
      </c>
      <c r="V28">
        <f>E28-F28</f>
        <v/>
      </c>
    </row>
    <row r="29">
      <c r="A29">
        <f>Participants!B29</f>
        <v/>
      </c>
      <c r="B29">
        <f>Participants!C29</f>
        <v/>
      </c>
      <c r="C29">
        <f>COUNTIFS('Match Data'!C:C,A29,'Match Data'!E:E,"&gt;=0")+COUNTIFS('Match Data'!D:D,A29,'Match Data'!F:F,"&gt;=0")</f>
        <v/>
      </c>
      <c r="D29">
        <f>SUMIF('Match Data'!C:C,A29,'Match Data'!G:G)+SUMIF('Match Data'!D:D,A29,'Match Data'!G:G)</f>
        <v/>
      </c>
      <c r="E29">
        <f>SUMIF('Match Data'!C:C,A29,'Match Data'!E:E)+SUMIF('Match Data'!D:D,A29,'Match Data'!F:F)</f>
        <v/>
      </c>
      <c r="F29">
        <f>SUMIF('Match Data'!C:C,A29,'Match Data'!F:F)+SUMIF('Match Data'!D:D,A29,'Match Data'!E:E)</f>
        <v/>
      </c>
      <c r="G29">
        <f>SUMIF('Match Data'!C:C,A29,'Match Data'!H:H)+SUMIF('Match Data'!D:D,A29,'Match Data'!I:I)</f>
        <v/>
      </c>
      <c r="H29" s="3">
        <f>IF(D29=0,0,G29/D29*90)</f>
        <v/>
      </c>
      <c r="I29">
        <f>SUMIF('Match Data'!C:C,A29,'Match Data'!J:J)+SUMIF('Match Data'!D:D,A29,'Match Data'!K:K)</f>
        <v/>
      </c>
      <c r="J29" s="3">
        <f>IF(D29=0,0,I29/D29*90)</f>
        <v/>
      </c>
      <c r="K29" s="3">
        <f>IF(C29=0,0,(SUMIF('Match Data'!C:C,A29,'Match Data'!L:L)+SUMIF('Match Data'!D:D,A29,'Match Data'!M:M))/C29)</f>
        <v/>
      </c>
      <c r="L29">
        <f>SUMIF('Match Data'!C:C,A29,'Match Data'!N:N)+SUMIF('Match Data'!D:D,A29,'Match Data'!O:O)</f>
        <v/>
      </c>
      <c r="M29" s="3">
        <f>IF(D29=0,0,L29/D29*90)</f>
        <v/>
      </c>
      <c r="N29">
        <f>SUMIF('Match Data'!C:C,A29,'Match Data'!P:P)+SUMIF('Match Data'!D:D,A29,'Match Data'!Q:Q)</f>
        <v/>
      </c>
      <c r="O29">
        <f>SUMIF('Match Data'!C:C,A29,'Match Data'!R:R)+SUMIF('Match Data'!D:D,A29,'Match Data'!S:S)</f>
        <v/>
      </c>
      <c r="P29">
        <f>N29*1+O29*2</f>
        <v/>
      </c>
      <c r="Q29" s="3">
        <f>IF(D29=0,0,P29/D29*90)</f>
        <v/>
      </c>
      <c r="R29">
        <f>SUMIF('Match Data'!C:C,A29,'Match Data'!T:T)+SUMIF('Match Data'!D:D,A29,'Match Data'!U:U)</f>
        <v/>
      </c>
      <c r="S29" s="3">
        <f>IF(D29=0,0,R29/D29*90)</f>
        <v/>
      </c>
      <c r="T29">
        <f>SUMIF('Match Data'!C:C,A29,'Match Data'!V:V)+SUMIF('Match Data'!D:D,A29,'Match Data'!W:W)</f>
        <v/>
      </c>
      <c r="U29" s="3">
        <f>IF(D29=0,0,T29/D29*90)</f>
        <v/>
      </c>
      <c r="V29">
        <f>E29-F29</f>
        <v/>
      </c>
    </row>
    <row r="30">
      <c r="A30">
        <f>Participants!B30</f>
        <v/>
      </c>
      <c r="B30">
        <f>Participants!C30</f>
        <v/>
      </c>
      <c r="C30">
        <f>COUNTIFS('Match Data'!C:C,A30,'Match Data'!E:E,"&gt;=0")+COUNTIFS('Match Data'!D:D,A30,'Match Data'!F:F,"&gt;=0")</f>
        <v/>
      </c>
      <c r="D30">
        <f>SUMIF('Match Data'!C:C,A30,'Match Data'!G:G)+SUMIF('Match Data'!D:D,A30,'Match Data'!G:G)</f>
        <v/>
      </c>
      <c r="E30">
        <f>SUMIF('Match Data'!C:C,A30,'Match Data'!E:E)+SUMIF('Match Data'!D:D,A30,'Match Data'!F:F)</f>
        <v/>
      </c>
      <c r="F30">
        <f>SUMIF('Match Data'!C:C,A30,'Match Data'!F:F)+SUMIF('Match Data'!D:D,A30,'Match Data'!E:E)</f>
        <v/>
      </c>
      <c r="G30">
        <f>SUMIF('Match Data'!C:C,A30,'Match Data'!H:H)+SUMIF('Match Data'!D:D,A30,'Match Data'!I:I)</f>
        <v/>
      </c>
      <c r="H30" s="3">
        <f>IF(D30=0,0,G30/D30*90)</f>
        <v/>
      </c>
      <c r="I30">
        <f>SUMIF('Match Data'!C:C,A30,'Match Data'!J:J)+SUMIF('Match Data'!D:D,A30,'Match Data'!K:K)</f>
        <v/>
      </c>
      <c r="J30" s="3">
        <f>IF(D30=0,0,I30/D30*90)</f>
        <v/>
      </c>
      <c r="K30" s="3">
        <f>IF(C30=0,0,(SUMIF('Match Data'!C:C,A30,'Match Data'!L:L)+SUMIF('Match Data'!D:D,A30,'Match Data'!M:M))/C30)</f>
        <v/>
      </c>
      <c r="L30">
        <f>SUMIF('Match Data'!C:C,A30,'Match Data'!N:N)+SUMIF('Match Data'!D:D,A30,'Match Data'!O:O)</f>
        <v/>
      </c>
      <c r="M30" s="3">
        <f>IF(D30=0,0,L30/D30*90)</f>
        <v/>
      </c>
      <c r="N30">
        <f>SUMIF('Match Data'!C:C,A30,'Match Data'!P:P)+SUMIF('Match Data'!D:D,A30,'Match Data'!Q:Q)</f>
        <v/>
      </c>
      <c r="O30">
        <f>SUMIF('Match Data'!C:C,A30,'Match Data'!R:R)+SUMIF('Match Data'!D:D,A30,'Match Data'!S:S)</f>
        <v/>
      </c>
      <c r="P30">
        <f>N30*1+O30*2</f>
        <v/>
      </c>
      <c r="Q30" s="3">
        <f>IF(D30=0,0,P30/D30*90)</f>
        <v/>
      </c>
      <c r="R30">
        <f>SUMIF('Match Data'!C:C,A30,'Match Data'!T:T)+SUMIF('Match Data'!D:D,A30,'Match Data'!U:U)</f>
        <v/>
      </c>
      <c r="S30" s="3">
        <f>IF(D30=0,0,R30/D30*90)</f>
        <v/>
      </c>
      <c r="T30">
        <f>SUMIF('Match Data'!C:C,A30,'Match Data'!V:V)+SUMIF('Match Data'!D:D,A30,'Match Data'!W:W)</f>
        <v/>
      </c>
      <c r="U30" s="3">
        <f>IF(D30=0,0,T30/D30*90)</f>
        <v/>
      </c>
      <c r="V30">
        <f>E30-F30</f>
        <v/>
      </c>
    </row>
    <row r="31">
      <c r="A31">
        <f>Participants!B31</f>
        <v/>
      </c>
      <c r="B31">
        <f>Participants!C31</f>
        <v/>
      </c>
      <c r="C31">
        <f>COUNTIFS('Match Data'!C:C,A31,'Match Data'!E:E,"&gt;=0")+COUNTIFS('Match Data'!D:D,A31,'Match Data'!F:F,"&gt;=0")</f>
        <v/>
      </c>
      <c r="D31">
        <f>SUMIF('Match Data'!C:C,A31,'Match Data'!G:G)+SUMIF('Match Data'!D:D,A31,'Match Data'!G:G)</f>
        <v/>
      </c>
      <c r="E31">
        <f>SUMIF('Match Data'!C:C,A31,'Match Data'!E:E)+SUMIF('Match Data'!D:D,A31,'Match Data'!F:F)</f>
        <v/>
      </c>
      <c r="F31">
        <f>SUMIF('Match Data'!C:C,A31,'Match Data'!F:F)+SUMIF('Match Data'!D:D,A31,'Match Data'!E:E)</f>
        <v/>
      </c>
      <c r="G31">
        <f>SUMIF('Match Data'!C:C,A31,'Match Data'!H:H)+SUMIF('Match Data'!D:D,A31,'Match Data'!I:I)</f>
        <v/>
      </c>
      <c r="H31" s="3">
        <f>IF(D31=0,0,G31/D31*90)</f>
        <v/>
      </c>
      <c r="I31">
        <f>SUMIF('Match Data'!C:C,A31,'Match Data'!J:J)+SUMIF('Match Data'!D:D,A31,'Match Data'!K:K)</f>
        <v/>
      </c>
      <c r="J31" s="3">
        <f>IF(D31=0,0,I31/D31*90)</f>
        <v/>
      </c>
      <c r="K31" s="3">
        <f>IF(C31=0,0,(SUMIF('Match Data'!C:C,A31,'Match Data'!L:L)+SUMIF('Match Data'!D:D,A31,'Match Data'!M:M))/C31)</f>
        <v/>
      </c>
      <c r="L31">
        <f>SUMIF('Match Data'!C:C,A31,'Match Data'!N:N)+SUMIF('Match Data'!D:D,A31,'Match Data'!O:O)</f>
        <v/>
      </c>
      <c r="M31" s="3">
        <f>IF(D31=0,0,L31/D31*90)</f>
        <v/>
      </c>
      <c r="N31">
        <f>SUMIF('Match Data'!C:C,A31,'Match Data'!P:P)+SUMIF('Match Data'!D:D,A31,'Match Data'!Q:Q)</f>
        <v/>
      </c>
      <c r="O31">
        <f>SUMIF('Match Data'!C:C,A31,'Match Data'!R:R)+SUMIF('Match Data'!D:D,A31,'Match Data'!S:S)</f>
        <v/>
      </c>
      <c r="P31">
        <f>N31*1+O31*2</f>
        <v/>
      </c>
      <c r="Q31" s="3">
        <f>IF(D31=0,0,P31/D31*90)</f>
        <v/>
      </c>
      <c r="R31">
        <f>SUMIF('Match Data'!C:C,A31,'Match Data'!T:T)+SUMIF('Match Data'!D:D,A31,'Match Data'!U:U)</f>
        <v/>
      </c>
      <c r="S31" s="3">
        <f>IF(D31=0,0,R31/D31*90)</f>
        <v/>
      </c>
      <c r="T31">
        <f>SUMIF('Match Data'!C:C,A31,'Match Data'!V:V)+SUMIF('Match Data'!D:D,A31,'Match Data'!W:W)</f>
        <v/>
      </c>
      <c r="U31" s="3">
        <f>IF(D31=0,0,T31/D31*90)</f>
        <v/>
      </c>
      <c r="V31">
        <f>E31-F31</f>
        <v/>
      </c>
    </row>
    <row r="32">
      <c r="A32">
        <f>Participants!B32</f>
        <v/>
      </c>
      <c r="B32">
        <f>Participants!C32</f>
        <v/>
      </c>
      <c r="C32">
        <f>COUNTIFS('Match Data'!C:C,A32,'Match Data'!E:E,"&gt;=0")+COUNTIFS('Match Data'!D:D,A32,'Match Data'!F:F,"&gt;=0")</f>
        <v/>
      </c>
      <c r="D32">
        <f>SUMIF('Match Data'!C:C,A32,'Match Data'!G:G)+SUMIF('Match Data'!D:D,A32,'Match Data'!G:G)</f>
        <v/>
      </c>
      <c r="E32">
        <f>SUMIF('Match Data'!C:C,A32,'Match Data'!E:E)+SUMIF('Match Data'!D:D,A32,'Match Data'!F:F)</f>
        <v/>
      </c>
      <c r="F32">
        <f>SUMIF('Match Data'!C:C,A32,'Match Data'!F:F)+SUMIF('Match Data'!D:D,A32,'Match Data'!E:E)</f>
        <v/>
      </c>
      <c r="G32">
        <f>SUMIF('Match Data'!C:C,A32,'Match Data'!H:H)+SUMIF('Match Data'!D:D,A32,'Match Data'!I:I)</f>
        <v/>
      </c>
      <c r="H32" s="3">
        <f>IF(D32=0,0,G32/D32*90)</f>
        <v/>
      </c>
      <c r="I32">
        <f>SUMIF('Match Data'!C:C,A32,'Match Data'!J:J)+SUMIF('Match Data'!D:D,A32,'Match Data'!K:K)</f>
        <v/>
      </c>
      <c r="J32" s="3">
        <f>IF(D32=0,0,I32/D32*90)</f>
        <v/>
      </c>
      <c r="K32" s="3">
        <f>IF(C32=0,0,(SUMIF('Match Data'!C:C,A32,'Match Data'!L:L)+SUMIF('Match Data'!D:D,A32,'Match Data'!M:M))/C32)</f>
        <v/>
      </c>
      <c r="L32">
        <f>SUMIF('Match Data'!C:C,A32,'Match Data'!N:N)+SUMIF('Match Data'!D:D,A32,'Match Data'!O:O)</f>
        <v/>
      </c>
      <c r="M32" s="3">
        <f>IF(D32=0,0,L32/D32*90)</f>
        <v/>
      </c>
      <c r="N32">
        <f>SUMIF('Match Data'!C:C,A32,'Match Data'!P:P)+SUMIF('Match Data'!D:D,A32,'Match Data'!Q:Q)</f>
        <v/>
      </c>
      <c r="O32">
        <f>SUMIF('Match Data'!C:C,A32,'Match Data'!R:R)+SUMIF('Match Data'!D:D,A32,'Match Data'!S:S)</f>
        <v/>
      </c>
      <c r="P32">
        <f>N32*1+O32*2</f>
        <v/>
      </c>
      <c r="Q32" s="3">
        <f>IF(D32=0,0,P32/D32*90)</f>
        <v/>
      </c>
      <c r="R32">
        <f>SUMIF('Match Data'!C:C,A32,'Match Data'!T:T)+SUMIF('Match Data'!D:D,A32,'Match Data'!U:U)</f>
        <v/>
      </c>
      <c r="S32" s="3">
        <f>IF(D32=0,0,R32/D32*90)</f>
        <v/>
      </c>
      <c r="T32">
        <f>SUMIF('Match Data'!C:C,A32,'Match Data'!V:V)+SUMIF('Match Data'!D:D,A32,'Match Data'!W:W)</f>
        <v/>
      </c>
      <c r="U32" s="3">
        <f>IF(D32=0,0,T32/D32*90)</f>
        <v/>
      </c>
      <c r="V32">
        <f>E32-F32</f>
        <v/>
      </c>
    </row>
    <row r="33">
      <c r="A33">
        <f>Participants!B33</f>
        <v/>
      </c>
      <c r="B33">
        <f>Participants!C33</f>
        <v/>
      </c>
      <c r="C33">
        <f>COUNTIFS('Match Data'!C:C,A33,'Match Data'!E:E,"&gt;=0")+COUNTIFS('Match Data'!D:D,A33,'Match Data'!F:F,"&gt;=0")</f>
        <v/>
      </c>
      <c r="D33">
        <f>SUMIF('Match Data'!C:C,A33,'Match Data'!G:G)+SUMIF('Match Data'!D:D,A33,'Match Data'!G:G)</f>
        <v/>
      </c>
      <c r="E33">
        <f>SUMIF('Match Data'!C:C,A33,'Match Data'!E:E)+SUMIF('Match Data'!D:D,A33,'Match Data'!F:F)</f>
        <v/>
      </c>
      <c r="F33">
        <f>SUMIF('Match Data'!C:C,A33,'Match Data'!F:F)+SUMIF('Match Data'!D:D,A33,'Match Data'!E:E)</f>
        <v/>
      </c>
      <c r="G33">
        <f>SUMIF('Match Data'!C:C,A33,'Match Data'!H:H)+SUMIF('Match Data'!D:D,A33,'Match Data'!I:I)</f>
        <v/>
      </c>
      <c r="H33" s="3">
        <f>IF(D33=0,0,G33/D33*90)</f>
        <v/>
      </c>
      <c r="I33">
        <f>SUMIF('Match Data'!C:C,A33,'Match Data'!J:J)+SUMIF('Match Data'!D:D,A33,'Match Data'!K:K)</f>
        <v/>
      </c>
      <c r="J33" s="3">
        <f>IF(D33=0,0,I33/D33*90)</f>
        <v/>
      </c>
      <c r="K33" s="3">
        <f>IF(C33=0,0,(SUMIF('Match Data'!C:C,A33,'Match Data'!L:L)+SUMIF('Match Data'!D:D,A33,'Match Data'!M:M))/C33)</f>
        <v/>
      </c>
      <c r="L33">
        <f>SUMIF('Match Data'!C:C,A33,'Match Data'!N:N)+SUMIF('Match Data'!D:D,A33,'Match Data'!O:O)</f>
        <v/>
      </c>
      <c r="M33" s="3">
        <f>IF(D33=0,0,L33/D33*90)</f>
        <v/>
      </c>
      <c r="N33">
        <f>SUMIF('Match Data'!C:C,A33,'Match Data'!P:P)+SUMIF('Match Data'!D:D,A33,'Match Data'!Q:Q)</f>
        <v/>
      </c>
      <c r="O33">
        <f>SUMIF('Match Data'!C:C,A33,'Match Data'!R:R)+SUMIF('Match Data'!D:D,A33,'Match Data'!S:S)</f>
        <v/>
      </c>
      <c r="P33">
        <f>N33*1+O33*2</f>
        <v/>
      </c>
      <c r="Q33" s="3">
        <f>IF(D33=0,0,P33/D33*90)</f>
        <v/>
      </c>
      <c r="R33">
        <f>SUMIF('Match Data'!C:C,A33,'Match Data'!T:T)+SUMIF('Match Data'!D:D,A33,'Match Data'!U:U)</f>
        <v/>
      </c>
      <c r="S33" s="3">
        <f>IF(D33=0,0,R33/D33*90)</f>
        <v/>
      </c>
      <c r="T33">
        <f>SUMIF('Match Data'!C:C,A33,'Match Data'!V:V)+SUMIF('Match Data'!D:D,A33,'Match Data'!W:W)</f>
        <v/>
      </c>
      <c r="U33" s="3">
        <f>IF(D33=0,0,T33/D33*90)</f>
        <v/>
      </c>
      <c r="V33">
        <f>E33-F33</f>
        <v/>
      </c>
    </row>
    <row r="34">
      <c r="A34">
        <f>Participants!B34</f>
        <v/>
      </c>
      <c r="B34">
        <f>Participants!C34</f>
        <v/>
      </c>
      <c r="C34">
        <f>COUNTIFS('Match Data'!C:C,A34,'Match Data'!E:E,"&gt;=0")+COUNTIFS('Match Data'!D:D,A34,'Match Data'!F:F,"&gt;=0")</f>
        <v/>
      </c>
      <c r="D34">
        <f>SUMIF('Match Data'!C:C,A34,'Match Data'!G:G)+SUMIF('Match Data'!D:D,A34,'Match Data'!G:G)</f>
        <v/>
      </c>
      <c r="E34">
        <f>SUMIF('Match Data'!C:C,A34,'Match Data'!E:E)+SUMIF('Match Data'!D:D,A34,'Match Data'!F:F)</f>
        <v/>
      </c>
      <c r="F34">
        <f>SUMIF('Match Data'!C:C,A34,'Match Data'!F:F)+SUMIF('Match Data'!D:D,A34,'Match Data'!E:E)</f>
        <v/>
      </c>
      <c r="G34">
        <f>SUMIF('Match Data'!C:C,A34,'Match Data'!H:H)+SUMIF('Match Data'!D:D,A34,'Match Data'!I:I)</f>
        <v/>
      </c>
      <c r="H34" s="3">
        <f>IF(D34=0,0,G34/D34*90)</f>
        <v/>
      </c>
      <c r="I34">
        <f>SUMIF('Match Data'!C:C,A34,'Match Data'!J:J)+SUMIF('Match Data'!D:D,A34,'Match Data'!K:K)</f>
        <v/>
      </c>
      <c r="J34" s="3">
        <f>IF(D34=0,0,I34/D34*90)</f>
        <v/>
      </c>
      <c r="K34" s="3">
        <f>IF(C34=0,0,(SUMIF('Match Data'!C:C,A34,'Match Data'!L:L)+SUMIF('Match Data'!D:D,A34,'Match Data'!M:M))/C34)</f>
        <v/>
      </c>
      <c r="L34">
        <f>SUMIF('Match Data'!C:C,A34,'Match Data'!N:N)+SUMIF('Match Data'!D:D,A34,'Match Data'!O:O)</f>
        <v/>
      </c>
      <c r="M34" s="3">
        <f>IF(D34=0,0,L34/D34*90)</f>
        <v/>
      </c>
      <c r="N34">
        <f>SUMIF('Match Data'!C:C,A34,'Match Data'!P:P)+SUMIF('Match Data'!D:D,A34,'Match Data'!Q:Q)</f>
        <v/>
      </c>
      <c r="O34">
        <f>SUMIF('Match Data'!C:C,A34,'Match Data'!R:R)+SUMIF('Match Data'!D:D,A34,'Match Data'!S:S)</f>
        <v/>
      </c>
      <c r="P34">
        <f>N34*1+O34*2</f>
        <v/>
      </c>
      <c r="Q34" s="3">
        <f>IF(D34=0,0,P34/D34*90)</f>
        <v/>
      </c>
      <c r="R34">
        <f>SUMIF('Match Data'!C:C,A34,'Match Data'!T:T)+SUMIF('Match Data'!D:D,A34,'Match Data'!U:U)</f>
        <v/>
      </c>
      <c r="S34" s="3">
        <f>IF(D34=0,0,R34/D34*90)</f>
        <v/>
      </c>
      <c r="T34">
        <f>SUMIF('Match Data'!C:C,A34,'Match Data'!V:V)+SUMIF('Match Data'!D:D,A34,'Match Data'!W:W)</f>
        <v/>
      </c>
      <c r="U34" s="3">
        <f>IF(D34=0,0,T34/D34*90)</f>
        <v/>
      </c>
      <c r="V34">
        <f>E34-F34</f>
        <v/>
      </c>
    </row>
    <row r="35">
      <c r="A35">
        <f>Participants!B35</f>
        <v/>
      </c>
      <c r="B35">
        <f>Participants!C35</f>
        <v/>
      </c>
      <c r="C35">
        <f>COUNTIFS('Match Data'!C:C,A35,'Match Data'!E:E,"&gt;=0")+COUNTIFS('Match Data'!D:D,A35,'Match Data'!F:F,"&gt;=0")</f>
        <v/>
      </c>
      <c r="D35">
        <f>SUMIF('Match Data'!C:C,A35,'Match Data'!G:G)+SUMIF('Match Data'!D:D,A35,'Match Data'!G:G)</f>
        <v/>
      </c>
      <c r="E35">
        <f>SUMIF('Match Data'!C:C,A35,'Match Data'!E:E)+SUMIF('Match Data'!D:D,A35,'Match Data'!F:F)</f>
        <v/>
      </c>
      <c r="F35">
        <f>SUMIF('Match Data'!C:C,A35,'Match Data'!F:F)+SUMIF('Match Data'!D:D,A35,'Match Data'!E:E)</f>
        <v/>
      </c>
      <c r="G35">
        <f>SUMIF('Match Data'!C:C,A35,'Match Data'!H:H)+SUMIF('Match Data'!D:D,A35,'Match Data'!I:I)</f>
        <v/>
      </c>
      <c r="H35" s="3">
        <f>IF(D35=0,0,G35/D35*90)</f>
        <v/>
      </c>
      <c r="I35">
        <f>SUMIF('Match Data'!C:C,A35,'Match Data'!J:J)+SUMIF('Match Data'!D:D,A35,'Match Data'!K:K)</f>
        <v/>
      </c>
      <c r="J35" s="3">
        <f>IF(D35=0,0,I35/D35*90)</f>
        <v/>
      </c>
      <c r="K35" s="3">
        <f>IF(C35=0,0,(SUMIF('Match Data'!C:C,A35,'Match Data'!L:L)+SUMIF('Match Data'!D:D,A35,'Match Data'!M:M))/C35)</f>
        <v/>
      </c>
      <c r="L35">
        <f>SUMIF('Match Data'!C:C,A35,'Match Data'!N:N)+SUMIF('Match Data'!D:D,A35,'Match Data'!O:O)</f>
        <v/>
      </c>
      <c r="M35" s="3">
        <f>IF(D35=0,0,L35/D35*90)</f>
        <v/>
      </c>
      <c r="N35">
        <f>SUMIF('Match Data'!C:C,A35,'Match Data'!P:P)+SUMIF('Match Data'!D:D,A35,'Match Data'!Q:Q)</f>
        <v/>
      </c>
      <c r="O35">
        <f>SUMIF('Match Data'!C:C,A35,'Match Data'!R:R)+SUMIF('Match Data'!D:D,A35,'Match Data'!S:S)</f>
        <v/>
      </c>
      <c r="P35">
        <f>N35*1+O35*2</f>
        <v/>
      </c>
      <c r="Q35" s="3">
        <f>IF(D35=0,0,P35/D35*90)</f>
        <v/>
      </c>
      <c r="R35">
        <f>SUMIF('Match Data'!C:C,A35,'Match Data'!T:T)+SUMIF('Match Data'!D:D,A35,'Match Data'!U:U)</f>
        <v/>
      </c>
      <c r="S35" s="3">
        <f>IF(D35=0,0,R35/D35*90)</f>
        <v/>
      </c>
      <c r="T35">
        <f>SUMIF('Match Data'!C:C,A35,'Match Data'!V:V)+SUMIF('Match Data'!D:D,A35,'Match Data'!W:W)</f>
        <v/>
      </c>
      <c r="U35" s="3">
        <f>IF(D35=0,0,T35/D35*90)</f>
        <v/>
      </c>
      <c r="V35">
        <f>E35-F35</f>
        <v/>
      </c>
    </row>
    <row r="36">
      <c r="A36">
        <f>Participants!B36</f>
        <v/>
      </c>
      <c r="B36">
        <f>Participants!C36</f>
        <v/>
      </c>
      <c r="C36">
        <f>COUNTIFS('Match Data'!C:C,A36,'Match Data'!E:E,"&gt;=0")+COUNTIFS('Match Data'!D:D,A36,'Match Data'!F:F,"&gt;=0")</f>
        <v/>
      </c>
      <c r="D36">
        <f>SUMIF('Match Data'!C:C,A36,'Match Data'!G:G)+SUMIF('Match Data'!D:D,A36,'Match Data'!G:G)</f>
        <v/>
      </c>
      <c r="E36">
        <f>SUMIF('Match Data'!C:C,A36,'Match Data'!E:E)+SUMIF('Match Data'!D:D,A36,'Match Data'!F:F)</f>
        <v/>
      </c>
      <c r="F36">
        <f>SUMIF('Match Data'!C:C,A36,'Match Data'!F:F)+SUMIF('Match Data'!D:D,A36,'Match Data'!E:E)</f>
        <v/>
      </c>
      <c r="G36">
        <f>SUMIF('Match Data'!C:C,A36,'Match Data'!H:H)+SUMIF('Match Data'!D:D,A36,'Match Data'!I:I)</f>
        <v/>
      </c>
      <c r="H36" s="3">
        <f>IF(D36=0,0,G36/D36*90)</f>
        <v/>
      </c>
      <c r="I36">
        <f>SUMIF('Match Data'!C:C,A36,'Match Data'!J:J)+SUMIF('Match Data'!D:D,A36,'Match Data'!K:K)</f>
        <v/>
      </c>
      <c r="J36" s="3">
        <f>IF(D36=0,0,I36/D36*90)</f>
        <v/>
      </c>
      <c r="K36" s="3">
        <f>IF(C36=0,0,(SUMIF('Match Data'!C:C,A36,'Match Data'!L:L)+SUMIF('Match Data'!D:D,A36,'Match Data'!M:M))/C36)</f>
        <v/>
      </c>
      <c r="L36">
        <f>SUMIF('Match Data'!C:C,A36,'Match Data'!N:N)+SUMIF('Match Data'!D:D,A36,'Match Data'!O:O)</f>
        <v/>
      </c>
      <c r="M36" s="3">
        <f>IF(D36=0,0,L36/D36*90)</f>
        <v/>
      </c>
      <c r="N36">
        <f>SUMIF('Match Data'!C:C,A36,'Match Data'!P:P)+SUMIF('Match Data'!D:D,A36,'Match Data'!Q:Q)</f>
        <v/>
      </c>
      <c r="O36">
        <f>SUMIF('Match Data'!C:C,A36,'Match Data'!R:R)+SUMIF('Match Data'!D:D,A36,'Match Data'!S:S)</f>
        <v/>
      </c>
      <c r="P36">
        <f>N36*1+O36*2</f>
        <v/>
      </c>
      <c r="Q36" s="3">
        <f>IF(D36=0,0,P36/D36*90)</f>
        <v/>
      </c>
      <c r="R36">
        <f>SUMIF('Match Data'!C:C,A36,'Match Data'!T:T)+SUMIF('Match Data'!D:D,A36,'Match Data'!U:U)</f>
        <v/>
      </c>
      <c r="S36" s="3">
        <f>IF(D36=0,0,R36/D36*90)</f>
        <v/>
      </c>
      <c r="T36">
        <f>SUMIF('Match Data'!C:C,A36,'Match Data'!V:V)+SUMIF('Match Data'!D:D,A36,'Match Data'!W:W)</f>
        <v/>
      </c>
      <c r="U36" s="3">
        <f>IF(D36=0,0,T36/D36*90)</f>
        <v/>
      </c>
      <c r="V36">
        <f>E36-F36</f>
        <v/>
      </c>
    </row>
    <row r="37">
      <c r="A37">
        <f>Participants!B37</f>
        <v/>
      </c>
      <c r="B37">
        <f>Participants!C37</f>
        <v/>
      </c>
      <c r="C37">
        <f>COUNTIFS('Match Data'!C:C,A37,'Match Data'!E:E,"&gt;=0")+COUNTIFS('Match Data'!D:D,A37,'Match Data'!F:F,"&gt;=0")</f>
        <v/>
      </c>
      <c r="D37">
        <f>SUMIF('Match Data'!C:C,A37,'Match Data'!G:G)+SUMIF('Match Data'!D:D,A37,'Match Data'!G:G)</f>
        <v/>
      </c>
      <c r="E37">
        <f>SUMIF('Match Data'!C:C,A37,'Match Data'!E:E)+SUMIF('Match Data'!D:D,A37,'Match Data'!F:F)</f>
        <v/>
      </c>
      <c r="F37">
        <f>SUMIF('Match Data'!C:C,A37,'Match Data'!F:F)+SUMIF('Match Data'!D:D,A37,'Match Data'!E:E)</f>
        <v/>
      </c>
      <c r="G37">
        <f>SUMIF('Match Data'!C:C,A37,'Match Data'!H:H)+SUMIF('Match Data'!D:D,A37,'Match Data'!I:I)</f>
        <v/>
      </c>
      <c r="H37" s="3">
        <f>IF(D37=0,0,G37/D37*90)</f>
        <v/>
      </c>
      <c r="I37">
        <f>SUMIF('Match Data'!C:C,A37,'Match Data'!J:J)+SUMIF('Match Data'!D:D,A37,'Match Data'!K:K)</f>
        <v/>
      </c>
      <c r="J37" s="3">
        <f>IF(D37=0,0,I37/D37*90)</f>
        <v/>
      </c>
      <c r="K37" s="3">
        <f>IF(C37=0,0,(SUMIF('Match Data'!C:C,A37,'Match Data'!L:L)+SUMIF('Match Data'!D:D,A37,'Match Data'!M:M))/C37)</f>
        <v/>
      </c>
      <c r="L37">
        <f>SUMIF('Match Data'!C:C,A37,'Match Data'!N:N)+SUMIF('Match Data'!D:D,A37,'Match Data'!O:O)</f>
        <v/>
      </c>
      <c r="M37" s="3">
        <f>IF(D37=0,0,L37/D37*90)</f>
        <v/>
      </c>
      <c r="N37">
        <f>SUMIF('Match Data'!C:C,A37,'Match Data'!P:P)+SUMIF('Match Data'!D:D,A37,'Match Data'!Q:Q)</f>
        <v/>
      </c>
      <c r="O37">
        <f>SUMIF('Match Data'!C:C,A37,'Match Data'!R:R)+SUMIF('Match Data'!D:D,A37,'Match Data'!S:S)</f>
        <v/>
      </c>
      <c r="P37">
        <f>N37*1+O37*2</f>
        <v/>
      </c>
      <c r="Q37" s="3">
        <f>IF(D37=0,0,P37/D37*90)</f>
        <v/>
      </c>
      <c r="R37">
        <f>SUMIF('Match Data'!C:C,A37,'Match Data'!T:T)+SUMIF('Match Data'!D:D,A37,'Match Data'!U:U)</f>
        <v/>
      </c>
      <c r="S37" s="3">
        <f>IF(D37=0,0,R37/D37*90)</f>
        <v/>
      </c>
      <c r="T37">
        <f>SUMIF('Match Data'!C:C,A37,'Match Data'!V:V)+SUMIF('Match Data'!D:D,A37,'Match Data'!W:W)</f>
        <v/>
      </c>
      <c r="U37" s="3">
        <f>IF(D37=0,0,T37/D37*90)</f>
        <v/>
      </c>
      <c r="V37">
        <f>E37-F37</f>
        <v/>
      </c>
    </row>
    <row r="38">
      <c r="A38">
        <f>Participants!B38</f>
        <v/>
      </c>
      <c r="B38">
        <f>Participants!C38</f>
        <v/>
      </c>
      <c r="C38">
        <f>COUNTIFS('Match Data'!C:C,A38,'Match Data'!E:E,"&gt;=0")+COUNTIFS('Match Data'!D:D,A38,'Match Data'!F:F,"&gt;=0")</f>
        <v/>
      </c>
      <c r="D38">
        <f>SUMIF('Match Data'!C:C,A38,'Match Data'!G:G)+SUMIF('Match Data'!D:D,A38,'Match Data'!G:G)</f>
        <v/>
      </c>
      <c r="E38">
        <f>SUMIF('Match Data'!C:C,A38,'Match Data'!E:E)+SUMIF('Match Data'!D:D,A38,'Match Data'!F:F)</f>
        <v/>
      </c>
      <c r="F38">
        <f>SUMIF('Match Data'!C:C,A38,'Match Data'!F:F)+SUMIF('Match Data'!D:D,A38,'Match Data'!E:E)</f>
        <v/>
      </c>
      <c r="G38">
        <f>SUMIF('Match Data'!C:C,A38,'Match Data'!H:H)+SUMIF('Match Data'!D:D,A38,'Match Data'!I:I)</f>
        <v/>
      </c>
      <c r="H38" s="3">
        <f>IF(D38=0,0,G38/D38*90)</f>
        <v/>
      </c>
      <c r="I38">
        <f>SUMIF('Match Data'!C:C,A38,'Match Data'!J:J)+SUMIF('Match Data'!D:D,A38,'Match Data'!K:K)</f>
        <v/>
      </c>
      <c r="J38" s="3">
        <f>IF(D38=0,0,I38/D38*90)</f>
        <v/>
      </c>
      <c r="K38" s="3">
        <f>IF(C38=0,0,(SUMIF('Match Data'!C:C,A38,'Match Data'!L:L)+SUMIF('Match Data'!D:D,A38,'Match Data'!M:M))/C38)</f>
        <v/>
      </c>
      <c r="L38">
        <f>SUMIF('Match Data'!C:C,A38,'Match Data'!N:N)+SUMIF('Match Data'!D:D,A38,'Match Data'!O:O)</f>
        <v/>
      </c>
      <c r="M38" s="3">
        <f>IF(D38=0,0,L38/D38*90)</f>
        <v/>
      </c>
      <c r="N38">
        <f>SUMIF('Match Data'!C:C,A38,'Match Data'!P:P)+SUMIF('Match Data'!D:D,A38,'Match Data'!Q:Q)</f>
        <v/>
      </c>
      <c r="O38">
        <f>SUMIF('Match Data'!C:C,A38,'Match Data'!R:R)+SUMIF('Match Data'!D:D,A38,'Match Data'!S:S)</f>
        <v/>
      </c>
      <c r="P38">
        <f>N38*1+O38*2</f>
        <v/>
      </c>
      <c r="Q38" s="3">
        <f>IF(D38=0,0,P38/D38*90)</f>
        <v/>
      </c>
      <c r="R38">
        <f>SUMIF('Match Data'!C:C,A38,'Match Data'!T:T)+SUMIF('Match Data'!D:D,A38,'Match Data'!U:U)</f>
        <v/>
      </c>
      <c r="S38" s="3">
        <f>IF(D38=0,0,R38/D38*90)</f>
        <v/>
      </c>
      <c r="T38">
        <f>SUMIF('Match Data'!C:C,A38,'Match Data'!V:V)+SUMIF('Match Data'!D:D,A38,'Match Data'!W:W)</f>
        <v/>
      </c>
      <c r="U38" s="3">
        <f>IF(D38=0,0,T38/D38*90)</f>
        <v/>
      </c>
      <c r="V38">
        <f>E38-F38</f>
        <v/>
      </c>
    </row>
    <row r="39">
      <c r="A39">
        <f>Participants!B39</f>
        <v/>
      </c>
      <c r="B39">
        <f>Participants!C39</f>
        <v/>
      </c>
      <c r="C39">
        <f>COUNTIFS('Match Data'!C:C,A39,'Match Data'!E:E,"&gt;=0")+COUNTIFS('Match Data'!D:D,A39,'Match Data'!F:F,"&gt;=0")</f>
        <v/>
      </c>
      <c r="D39">
        <f>SUMIF('Match Data'!C:C,A39,'Match Data'!G:G)+SUMIF('Match Data'!D:D,A39,'Match Data'!G:G)</f>
        <v/>
      </c>
      <c r="E39">
        <f>SUMIF('Match Data'!C:C,A39,'Match Data'!E:E)+SUMIF('Match Data'!D:D,A39,'Match Data'!F:F)</f>
        <v/>
      </c>
      <c r="F39">
        <f>SUMIF('Match Data'!C:C,A39,'Match Data'!F:F)+SUMIF('Match Data'!D:D,A39,'Match Data'!E:E)</f>
        <v/>
      </c>
      <c r="G39">
        <f>SUMIF('Match Data'!C:C,A39,'Match Data'!H:H)+SUMIF('Match Data'!D:D,A39,'Match Data'!I:I)</f>
        <v/>
      </c>
      <c r="H39" s="3">
        <f>IF(D39=0,0,G39/D39*90)</f>
        <v/>
      </c>
      <c r="I39">
        <f>SUMIF('Match Data'!C:C,A39,'Match Data'!J:J)+SUMIF('Match Data'!D:D,A39,'Match Data'!K:K)</f>
        <v/>
      </c>
      <c r="J39" s="3">
        <f>IF(D39=0,0,I39/D39*90)</f>
        <v/>
      </c>
      <c r="K39" s="3">
        <f>IF(C39=0,0,(SUMIF('Match Data'!C:C,A39,'Match Data'!L:L)+SUMIF('Match Data'!D:D,A39,'Match Data'!M:M))/C39)</f>
        <v/>
      </c>
      <c r="L39">
        <f>SUMIF('Match Data'!C:C,A39,'Match Data'!N:N)+SUMIF('Match Data'!D:D,A39,'Match Data'!O:O)</f>
        <v/>
      </c>
      <c r="M39" s="3">
        <f>IF(D39=0,0,L39/D39*90)</f>
        <v/>
      </c>
      <c r="N39">
        <f>SUMIF('Match Data'!C:C,A39,'Match Data'!P:P)+SUMIF('Match Data'!D:D,A39,'Match Data'!Q:Q)</f>
        <v/>
      </c>
      <c r="O39">
        <f>SUMIF('Match Data'!C:C,A39,'Match Data'!R:R)+SUMIF('Match Data'!D:D,A39,'Match Data'!S:S)</f>
        <v/>
      </c>
      <c r="P39">
        <f>N39*1+O39*2</f>
        <v/>
      </c>
      <c r="Q39" s="3">
        <f>IF(D39=0,0,P39/D39*90)</f>
        <v/>
      </c>
      <c r="R39">
        <f>SUMIF('Match Data'!C:C,A39,'Match Data'!T:T)+SUMIF('Match Data'!D:D,A39,'Match Data'!U:U)</f>
        <v/>
      </c>
      <c r="S39" s="3">
        <f>IF(D39=0,0,R39/D39*90)</f>
        <v/>
      </c>
      <c r="T39">
        <f>SUMIF('Match Data'!C:C,A39,'Match Data'!V:V)+SUMIF('Match Data'!D:D,A39,'Match Data'!W:W)</f>
        <v/>
      </c>
      <c r="U39" s="3">
        <f>IF(D39=0,0,T39/D39*90)</f>
        <v/>
      </c>
      <c r="V39">
        <f>E39-F39</f>
        <v/>
      </c>
    </row>
    <row r="40">
      <c r="A40">
        <f>Participants!B40</f>
        <v/>
      </c>
      <c r="B40">
        <f>Participants!C40</f>
        <v/>
      </c>
      <c r="C40">
        <f>COUNTIFS('Match Data'!C:C,A40,'Match Data'!E:E,"&gt;=0")+COUNTIFS('Match Data'!D:D,A40,'Match Data'!F:F,"&gt;=0")</f>
        <v/>
      </c>
      <c r="D40">
        <f>SUMIF('Match Data'!C:C,A40,'Match Data'!G:G)+SUMIF('Match Data'!D:D,A40,'Match Data'!G:G)</f>
        <v/>
      </c>
      <c r="E40">
        <f>SUMIF('Match Data'!C:C,A40,'Match Data'!E:E)+SUMIF('Match Data'!D:D,A40,'Match Data'!F:F)</f>
        <v/>
      </c>
      <c r="F40">
        <f>SUMIF('Match Data'!C:C,A40,'Match Data'!F:F)+SUMIF('Match Data'!D:D,A40,'Match Data'!E:E)</f>
        <v/>
      </c>
      <c r="G40">
        <f>SUMIF('Match Data'!C:C,A40,'Match Data'!H:H)+SUMIF('Match Data'!D:D,A40,'Match Data'!I:I)</f>
        <v/>
      </c>
      <c r="H40" s="3">
        <f>IF(D40=0,0,G40/D40*90)</f>
        <v/>
      </c>
      <c r="I40">
        <f>SUMIF('Match Data'!C:C,A40,'Match Data'!J:J)+SUMIF('Match Data'!D:D,A40,'Match Data'!K:K)</f>
        <v/>
      </c>
      <c r="J40" s="3">
        <f>IF(D40=0,0,I40/D40*90)</f>
        <v/>
      </c>
      <c r="K40" s="3">
        <f>IF(C40=0,0,(SUMIF('Match Data'!C:C,A40,'Match Data'!L:L)+SUMIF('Match Data'!D:D,A40,'Match Data'!M:M))/C40)</f>
        <v/>
      </c>
      <c r="L40">
        <f>SUMIF('Match Data'!C:C,A40,'Match Data'!N:N)+SUMIF('Match Data'!D:D,A40,'Match Data'!O:O)</f>
        <v/>
      </c>
      <c r="M40" s="3">
        <f>IF(D40=0,0,L40/D40*90)</f>
        <v/>
      </c>
      <c r="N40">
        <f>SUMIF('Match Data'!C:C,A40,'Match Data'!P:P)+SUMIF('Match Data'!D:D,A40,'Match Data'!Q:Q)</f>
        <v/>
      </c>
      <c r="O40">
        <f>SUMIF('Match Data'!C:C,A40,'Match Data'!R:R)+SUMIF('Match Data'!D:D,A40,'Match Data'!S:S)</f>
        <v/>
      </c>
      <c r="P40">
        <f>N40*1+O40*2</f>
        <v/>
      </c>
      <c r="Q40" s="3">
        <f>IF(D40=0,0,P40/D40*90)</f>
        <v/>
      </c>
      <c r="R40">
        <f>SUMIF('Match Data'!C:C,A40,'Match Data'!T:T)+SUMIF('Match Data'!D:D,A40,'Match Data'!U:U)</f>
        <v/>
      </c>
      <c r="S40" s="3">
        <f>IF(D40=0,0,R40/D40*90)</f>
        <v/>
      </c>
      <c r="T40">
        <f>SUMIF('Match Data'!C:C,A40,'Match Data'!V:V)+SUMIF('Match Data'!D:D,A40,'Match Data'!W:W)</f>
        <v/>
      </c>
      <c r="U40" s="3">
        <f>IF(D40=0,0,T40/D40*90)</f>
        <v/>
      </c>
      <c r="V40">
        <f>E40-F40</f>
        <v/>
      </c>
    </row>
    <row r="41">
      <c r="A41">
        <f>Participants!B41</f>
        <v/>
      </c>
      <c r="B41">
        <f>Participants!C41</f>
        <v/>
      </c>
      <c r="C41">
        <f>COUNTIFS('Match Data'!C:C,A41,'Match Data'!E:E,"&gt;=0")+COUNTIFS('Match Data'!D:D,A41,'Match Data'!F:F,"&gt;=0")</f>
        <v/>
      </c>
      <c r="D41">
        <f>SUMIF('Match Data'!C:C,A41,'Match Data'!G:G)+SUMIF('Match Data'!D:D,A41,'Match Data'!G:G)</f>
        <v/>
      </c>
      <c r="E41">
        <f>SUMIF('Match Data'!C:C,A41,'Match Data'!E:E)+SUMIF('Match Data'!D:D,A41,'Match Data'!F:F)</f>
        <v/>
      </c>
      <c r="F41">
        <f>SUMIF('Match Data'!C:C,A41,'Match Data'!F:F)+SUMIF('Match Data'!D:D,A41,'Match Data'!E:E)</f>
        <v/>
      </c>
      <c r="G41">
        <f>SUMIF('Match Data'!C:C,A41,'Match Data'!H:H)+SUMIF('Match Data'!D:D,A41,'Match Data'!I:I)</f>
        <v/>
      </c>
      <c r="H41" s="3">
        <f>IF(D41=0,0,G41/D41*90)</f>
        <v/>
      </c>
      <c r="I41">
        <f>SUMIF('Match Data'!C:C,A41,'Match Data'!J:J)+SUMIF('Match Data'!D:D,A41,'Match Data'!K:K)</f>
        <v/>
      </c>
      <c r="J41" s="3">
        <f>IF(D41=0,0,I41/D41*90)</f>
        <v/>
      </c>
      <c r="K41" s="3">
        <f>IF(C41=0,0,(SUMIF('Match Data'!C:C,A41,'Match Data'!L:L)+SUMIF('Match Data'!D:D,A41,'Match Data'!M:M))/C41)</f>
        <v/>
      </c>
      <c r="L41">
        <f>SUMIF('Match Data'!C:C,A41,'Match Data'!N:N)+SUMIF('Match Data'!D:D,A41,'Match Data'!O:O)</f>
        <v/>
      </c>
      <c r="M41" s="3">
        <f>IF(D41=0,0,L41/D41*90)</f>
        <v/>
      </c>
      <c r="N41">
        <f>SUMIF('Match Data'!C:C,A41,'Match Data'!P:P)+SUMIF('Match Data'!D:D,A41,'Match Data'!Q:Q)</f>
        <v/>
      </c>
      <c r="O41">
        <f>SUMIF('Match Data'!C:C,A41,'Match Data'!R:R)+SUMIF('Match Data'!D:D,A41,'Match Data'!S:S)</f>
        <v/>
      </c>
      <c r="P41">
        <f>N41*1+O41*2</f>
        <v/>
      </c>
      <c r="Q41" s="3">
        <f>IF(D41=0,0,P41/D41*90)</f>
        <v/>
      </c>
      <c r="R41">
        <f>SUMIF('Match Data'!C:C,A41,'Match Data'!T:T)+SUMIF('Match Data'!D:D,A41,'Match Data'!U:U)</f>
        <v/>
      </c>
      <c r="S41" s="3">
        <f>IF(D41=0,0,R41/D41*90)</f>
        <v/>
      </c>
      <c r="T41">
        <f>SUMIF('Match Data'!C:C,A41,'Match Data'!V:V)+SUMIF('Match Data'!D:D,A41,'Match Data'!W:W)</f>
        <v/>
      </c>
      <c r="U41" s="3">
        <f>IF(D41=0,0,T41/D41*90)</f>
        <v/>
      </c>
      <c r="V41">
        <f>E41-F41</f>
        <v/>
      </c>
    </row>
    <row r="42">
      <c r="A42">
        <f>Participants!B42</f>
        <v/>
      </c>
      <c r="B42">
        <f>Participants!C42</f>
        <v/>
      </c>
      <c r="C42">
        <f>COUNTIFS('Match Data'!C:C,A42,'Match Data'!E:E,"&gt;=0")+COUNTIFS('Match Data'!D:D,A42,'Match Data'!F:F,"&gt;=0")</f>
        <v/>
      </c>
      <c r="D42">
        <f>SUMIF('Match Data'!C:C,A42,'Match Data'!G:G)+SUMIF('Match Data'!D:D,A42,'Match Data'!G:G)</f>
        <v/>
      </c>
      <c r="E42">
        <f>SUMIF('Match Data'!C:C,A42,'Match Data'!E:E)+SUMIF('Match Data'!D:D,A42,'Match Data'!F:F)</f>
        <v/>
      </c>
      <c r="F42">
        <f>SUMIF('Match Data'!C:C,A42,'Match Data'!F:F)+SUMIF('Match Data'!D:D,A42,'Match Data'!E:E)</f>
        <v/>
      </c>
      <c r="G42">
        <f>SUMIF('Match Data'!C:C,A42,'Match Data'!H:H)+SUMIF('Match Data'!D:D,A42,'Match Data'!I:I)</f>
        <v/>
      </c>
      <c r="H42" s="3">
        <f>IF(D42=0,0,G42/D42*90)</f>
        <v/>
      </c>
      <c r="I42">
        <f>SUMIF('Match Data'!C:C,A42,'Match Data'!J:J)+SUMIF('Match Data'!D:D,A42,'Match Data'!K:K)</f>
        <v/>
      </c>
      <c r="J42" s="3">
        <f>IF(D42=0,0,I42/D42*90)</f>
        <v/>
      </c>
      <c r="K42" s="3">
        <f>IF(C42=0,0,(SUMIF('Match Data'!C:C,A42,'Match Data'!L:L)+SUMIF('Match Data'!D:D,A42,'Match Data'!M:M))/C42)</f>
        <v/>
      </c>
      <c r="L42">
        <f>SUMIF('Match Data'!C:C,A42,'Match Data'!N:N)+SUMIF('Match Data'!D:D,A42,'Match Data'!O:O)</f>
        <v/>
      </c>
      <c r="M42" s="3">
        <f>IF(D42=0,0,L42/D42*90)</f>
        <v/>
      </c>
      <c r="N42">
        <f>SUMIF('Match Data'!C:C,A42,'Match Data'!P:P)+SUMIF('Match Data'!D:D,A42,'Match Data'!Q:Q)</f>
        <v/>
      </c>
      <c r="O42">
        <f>SUMIF('Match Data'!C:C,A42,'Match Data'!R:R)+SUMIF('Match Data'!D:D,A42,'Match Data'!S:S)</f>
        <v/>
      </c>
      <c r="P42">
        <f>N42*1+O42*2</f>
        <v/>
      </c>
      <c r="Q42" s="3">
        <f>IF(D42=0,0,P42/D42*90)</f>
        <v/>
      </c>
      <c r="R42">
        <f>SUMIF('Match Data'!C:C,A42,'Match Data'!T:T)+SUMIF('Match Data'!D:D,A42,'Match Data'!U:U)</f>
        <v/>
      </c>
      <c r="S42" s="3">
        <f>IF(D42=0,0,R42/D42*90)</f>
        <v/>
      </c>
      <c r="T42">
        <f>SUMIF('Match Data'!C:C,A42,'Match Data'!V:V)+SUMIF('Match Data'!D:D,A42,'Match Data'!W:W)</f>
        <v/>
      </c>
      <c r="U42" s="3">
        <f>IF(D42=0,0,T42/D42*90)</f>
        <v/>
      </c>
      <c r="V42">
        <f>E42-F42</f>
        <v/>
      </c>
    </row>
    <row r="43">
      <c r="A43">
        <f>Participants!B43</f>
        <v/>
      </c>
      <c r="B43">
        <f>Participants!C43</f>
        <v/>
      </c>
      <c r="C43">
        <f>COUNTIFS('Match Data'!C:C,A43,'Match Data'!E:E,"&gt;=0")+COUNTIFS('Match Data'!D:D,A43,'Match Data'!F:F,"&gt;=0")</f>
        <v/>
      </c>
      <c r="D43">
        <f>SUMIF('Match Data'!C:C,A43,'Match Data'!G:G)+SUMIF('Match Data'!D:D,A43,'Match Data'!G:G)</f>
        <v/>
      </c>
      <c r="E43">
        <f>SUMIF('Match Data'!C:C,A43,'Match Data'!E:E)+SUMIF('Match Data'!D:D,A43,'Match Data'!F:F)</f>
        <v/>
      </c>
      <c r="F43">
        <f>SUMIF('Match Data'!C:C,A43,'Match Data'!F:F)+SUMIF('Match Data'!D:D,A43,'Match Data'!E:E)</f>
        <v/>
      </c>
      <c r="G43">
        <f>SUMIF('Match Data'!C:C,A43,'Match Data'!H:H)+SUMIF('Match Data'!D:D,A43,'Match Data'!I:I)</f>
        <v/>
      </c>
      <c r="H43" s="3">
        <f>IF(D43=0,0,G43/D43*90)</f>
        <v/>
      </c>
      <c r="I43">
        <f>SUMIF('Match Data'!C:C,A43,'Match Data'!J:J)+SUMIF('Match Data'!D:D,A43,'Match Data'!K:K)</f>
        <v/>
      </c>
      <c r="J43" s="3">
        <f>IF(D43=0,0,I43/D43*90)</f>
        <v/>
      </c>
      <c r="K43" s="3">
        <f>IF(C43=0,0,(SUMIF('Match Data'!C:C,A43,'Match Data'!L:L)+SUMIF('Match Data'!D:D,A43,'Match Data'!M:M))/C43)</f>
        <v/>
      </c>
      <c r="L43">
        <f>SUMIF('Match Data'!C:C,A43,'Match Data'!N:N)+SUMIF('Match Data'!D:D,A43,'Match Data'!O:O)</f>
        <v/>
      </c>
      <c r="M43" s="3">
        <f>IF(D43=0,0,L43/D43*90)</f>
        <v/>
      </c>
      <c r="N43">
        <f>SUMIF('Match Data'!C:C,A43,'Match Data'!P:P)+SUMIF('Match Data'!D:D,A43,'Match Data'!Q:Q)</f>
        <v/>
      </c>
      <c r="O43">
        <f>SUMIF('Match Data'!C:C,A43,'Match Data'!R:R)+SUMIF('Match Data'!D:D,A43,'Match Data'!S:S)</f>
        <v/>
      </c>
      <c r="P43">
        <f>N43*1+O43*2</f>
        <v/>
      </c>
      <c r="Q43" s="3">
        <f>IF(D43=0,0,P43/D43*90)</f>
        <v/>
      </c>
      <c r="R43">
        <f>SUMIF('Match Data'!C:C,A43,'Match Data'!T:T)+SUMIF('Match Data'!D:D,A43,'Match Data'!U:U)</f>
        <v/>
      </c>
      <c r="S43" s="3">
        <f>IF(D43=0,0,R43/D43*90)</f>
        <v/>
      </c>
      <c r="T43">
        <f>SUMIF('Match Data'!C:C,A43,'Match Data'!V:V)+SUMIF('Match Data'!D:D,A43,'Match Data'!W:W)</f>
        <v/>
      </c>
      <c r="U43" s="3">
        <f>IF(D43=0,0,T43/D43*90)</f>
        <v/>
      </c>
      <c r="V43">
        <f>E43-F43</f>
        <v/>
      </c>
    </row>
    <row r="44">
      <c r="A44">
        <f>Participants!B44</f>
        <v/>
      </c>
      <c r="B44">
        <f>Participants!C44</f>
        <v/>
      </c>
      <c r="C44">
        <f>COUNTIFS('Match Data'!C:C,A44,'Match Data'!E:E,"&gt;=0")+COUNTIFS('Match Data'!D:D,A44,'Match Data'!F:F,"&gt;=0")</f>
        <v/>
      </c>
      <c r="D44">
        <f>SUMIF('Match Data'!C:C,A44,'Match Data'!G:G)+SUMIF('Match Data'!D:D,A44,'Match Data'!G:G)</f>
        <v/>
      </c>
      <c r="E44">
        <f>SUMIF('Match Data'!C:C,A44,'Match Data'!E:E)+SUMIF('Match Data'!D:D,A44,'Match Data'!F:F)</f>
        <v/>
      </c>
      <c r="F44">
        <f>SUMIF('Match Data'!C:C,A44,'Match Data'!F:F)+SUMIF('Match Data'!D:D,A44,'Match Data'!E:E)</f>
        <v/>
      </c>
      <c r="G44">
        <f>SUMIF('Match Data'!C:C,A44,'Match Data'!H:H)+SUMIF('Match Data'!D:D,A44,'Match Data'!I:I)</f>
        <v/>
      </c>
      <c r="H44" s="3">
        <f>IF(D44=0,0,G44/D44*90)</f>
        <v/>
      </c>
      <c r="I44">
        <f>SUMIF('Match Data'!C:C,A44,'Match Data'!J:J)+SUMIF('Match Data'!D:D,A44,'Match Data'!K:K)</f>
        <v/>
      </c>
      <c r="J44" s="3">
        <f>IF(D44=0,0,I44/D44*90)</f>
        <v/>
      </c>
      <c r="K44" s="3">
        <f>IF(C44=0,0,(SUMIF('Match Data'!C:C,A44,'Match Data'!L:L)+SUMIF('Match Data'!D:D,A44,'Match Data'!M:M))/C44)</f>
        <v/>
      </c>
      <c r="L44">
        <f>SUMIF('Match Data'!C:C,A44,'Match Data'!N:N)+SUMIF('Match Data'!D:D,A44,'Match Data'!O:O)</f>
        <v/>
      </c>
      <c r="M44" s="3">
        <f>IF(D44=0,0,L44/D44*90)</f>
        <v/>
      </c>
      <c r="N44">
        <f>SUMIF('Match Data'!C:C,A44,'Match Data'!P:P)+SUMIF('Match Data'!D:D,A44,'Match Data'!Q:Q)</f>
        <v/>
      </c>
      <c r="O44">
        <f>SUMIF('Match Data'!C:C,A44,'Match Data'!R:R)+SUMIF('Match Data'!D:D,A44,'Match Data'!S:S)</f>
        <v/>
      </c>
      <c r="P44">
        <f>N44*1+O44*2</f>
        <v/>
      </c>
      <c r="Q44" s="3">
        <f>IF(D44=0,0,P44/D44*90)</f>
        <v/>
      </c>
      <c r="R44">
        <f>SUMIF('Match Data'!C:C,A44,'Match Data'!T:T)+SUMIF('Match Data'!D:D,A44,'Match Data'!U:U)</f>
        <v/>
      </c>
      <c r="S44" s="3">
        <f>IF(D44=0,0,R44/D44*90)</f>
        <v/>
      </c>
      <c r="T44">
        <f>SUMIF('Match Data'!C:C,A44,'Match Data'!V:V)+SUMIF('Match Data'!D:D,A44,'Match Data'!W:W)</f>
        <v/>
      </c>
      <c r="U44" s="3">
        <f>IF(D44=0,0,T44/D44*90)</f>
        <v/>
      </c>
      <c r="V44">
        <f>E44-F44</f>
        <v/>
      </c>
    </row>
    <row r="45">
      <c r="A45">
        <f>Participants!B45</f>
        <v/>
      </c>
      <c r="B45">
        <f>Participants!C45</f>
        <v/>
      </c>
      <c r="C45">
        <f>COUNTIFS('Match Data'!C:C,A45,'Match Data'!E:E,"&gt;=0")+COUNTIFS('Match Data'!D:D,A45,'Match Data'!F:F,"&gt;=0")</f>
        <v/>
      </c>
      <c r="D45">
        <f>SUMIF('Match Data'!C:C,A45,'Match Data'!G:G)+SUMIF('Match Data'!D:D,A45,'Match Data'!G:G)</f>
        <v/>
      </c>
      <c r="E45">
        <f>SUMIF('Match Data'!C:C,A45,'Match Data'!E:E)+SUMIF('Match Data'!D:D,A45,'Match Data'!F:F)</f>
        <v/>
      </c>
      <c r="F45">
        <f>SUMIF('Match Data'!C:C,A45,'Match Data'!F:F)+SUMIF('Match Data'!D:D,A45,'Match Data'!E:E)</f>
        <v/>
      </c>
      <c r="G45">
        <f>SUMIF('Match Data'!C:C,A45,'Match Data'!H:H)+SUMIF('Match Data'!D:D,A45,'Match Data'!I:I)</f>
        <v/>
      </c>
      <c r="H45" s="3">
        <f>IF(D45=0,0,G45/D45*90)</f>
        <v/>
      </c>
      <c r="I45">
        <f>SUMIF('Match Data'!C:C,A45,'Match Data'!J:J)+SUMIF('Match Data'!D:D,A45,'Match Data'!K:K)</f>
        <v/>
      </c>
      <c r="J45" s="3">
        <f>IF(D45=0,0,I45/D45*90)</f>
        <v/>
      </c>
      <c r="K45" s="3">
        <f>IF(C45=0,0,(SUMIF('Match Data'!C:C,A45,'Match Data'!L:L)+SUMIF('Match Data'!D:D,A45,'Match Data'!M:M))/C45)</f>
        <v/>
      </c>
      <c r="L45">
        <f>SUMIF('Match Data'!C:C,A45,'Match Data'!N:N)+SUMIF('Match Data'!D:D,A45,'Match Data'!O:O)</f>
        <v/>
      </c>
      <c r="M45" s="3">
        <f>IF(D45=0,0,L45/D45*90)</f>
        <v/>
      </c>
      <c r="N45">
        <f>SUMIF('Match Data'!C:C,A45,'Match Data'!P:P)+SUMIF('Match Data'!D:D,A45,'Match Data'!Q:Q)</f>
        <v/>
      </c>
      <c r="O45">
        <f>SUMIF('Match Data'!C:C,A45,'Match Data'!R:R)+SUMIF('Match Data'!D:D,A45,'Match Data'!S:S)</f>
        <v/>
      </c>
      <c r="P45">
        <f>N45*1+O45*2</f>
        <v/>
      </c>
      <c r="Q45" s="3">
        <f>IF(D45=0,0,P45/D45*90)</f>
        <v/>
      </c>
      <c r="R45">
        <f>SUMIF('Match Data'!C:C,A45,'Match Data'!T:T)+SUMIF('Match Data'!D:D,A45,'Match Data'!U:U)</f>
        <v/>
      </c>
      <c r="S45" s="3">
        <f>IF(D45=0,0,R45/D45*90)</f>
        <v/>
      </c>
      <c r="T45">
        <f>SUMIF('Match Data'!C:C,A45,'Match Data'!V:V)+SUMIF('Match Data'!D:D,A45,'Match Data'!W:W)</f>
        <v/>
      </c>
      <c r="U45" s="3">
        <f>IF(D45=0,0,T45/D45*90)</f>
        <v/>
      </c>
      <c r="V45">
        <f>E45-F45</f>
        <v/>
      </c>
    </row>
    <row r="46">
      <c r="A46">
        <f>Participants!B46</f>
        <v/>
      </c>
      <c r="B46">
        <f>Participants!C46</f>
        <v/>
      </c>
      <c r="C46">
        <f>COUNTIFS('Match Data'!C:C,A46,'Match Data'!E:E,"&gt;=0")+COUNTIFS('Match Data'!D:D,A46,'Match Data'!F:F,"&gt;=0")</f>
        <v/>
      </c>
      <c r="D46">
        <f>SUMIF('Match Data'!C:C,A46,'Match Data'!G:G)+SUMIF('Match Data'!D:D,A46,'Match Data'!G:G)</f>
        <v/>
      </c>
      <c r="E46">
        <f>SUMIF('Match Data'!C:C,A46,'Match Data'!E:E)+SUMIF('Match Data'!D:D,A46,'Match Data'!F:F)</f>
        <v/>
      </c>
      <c r="F46">
        <f>SUMIF('Match Data'!C:C,A46,'Match Data'!F:F)+SUMIF('Match Data'!D:D,A46,'Match Data'!E:E)</f>
        <v/>
      </c>
      <c r="G46">
        <f>SUMIF('Match Data'!C:C,A46,'Match Data'!H:H)+SUMIF('Match Data'!D:D,A46,'Match Data'!I:I)</f>
        <v/>
      </c>
      <c r="H46" s="3">
        <f>IF(D46=0,0,G46/D46*90)</f>
        <v/>
      </c>
      <c r="I46">
        <f>SUMIF('Match Data'!C:C,A46,'Match Data'!J:J)+SUMIF('Match Data'!D:D,A46,'Match Data'!K:K)</f>
        <v/>
      </c>
      <c r="J46" s="3">
        <f>IF(D46=0,0,I46/D46*90)</f>
        <v/>
      </c>
      <c r="K46" s="3">
        <f>IF(C46=0,0,(SUMIF('Match Data'!C:C,A46,'Match Data'!L:L)+SUMIF('Match Data'!D:D,A46,'Match Data'!M:M))/C46)</f>
        <v/>
      </c>
      <c r="L46">
        <f>SUMIF('Match Data'!C:C,A46,'Match Data'!N:N)+SUMIF('Match Data'!D:D,A46,'Match Data'!O:O)</f>
        <v/>
      </c>
      <c r="M46" s="3">
        <f>IF(D46=0,0,L46/D46*90)</f>
        <v/>
      </c>
      <c r="N46">
        <f>SUMIF('Match Data'!C:C,A46,'Match Data'!P:P)+SUMIF('Match Data'!D:D,A46,'Match Data'!Q:Q)</f>
        <v/>
      </c>
      <c r="O46">
        <f>SUMIF('Match Data'!C:C,A46,'Match Data'!R:R)+SUMIF('Match Data'!D:D,A46,'Match Data'!S:S)</f>
        <v/>
      </c>
      <c r="P46">
        <f>N46*1+O46*2</f>
        <v/>
      </c>
      <c r="Q46" s="3">
        <f>IF(D46=0,0,P46/D46*90)</f>
        <v/>
      </c>
      <c r="R46">
        <f>SUMIF('Match Data'!C:C,A46,'Match Data'!T:T)+SUMIF('Match Data'!D:D,A46,'Match Data'!U:U)</f>
        <v/>
      </c>
      <c r="S46" s="3">
        <f>IF(D46=0,0,R46/D46*90)</f>
        <v/>
      </c>
      <c r="T46">
        <f>SUMIF('Match Data'!C:C,A46,'Match Data'!V:V)+SUMIF('Match Data'!D:D,A46,'Match Data'!W:W)</f>
        <v/>
      </c>
      <c r="U46" s="3">
        <f>IF(D46=0,0,T46/D46*90)</f>
        <v/>
      </c>
      <c r="V46">
        <f>E46-F46</f>
        <v/>
      </c>
    </row>
    <row r="47">
      <c r="A47">
        <f>Participants!B47</f>
        <v/>
      </c>
      <c r="B47">
        <f>Participants!C47</f>
        <v/>
      </c>
      <c r="C47">
        <f>COUNTIFS('Match Data'!C:C,A47,'Match Data'!E:E,"&gt;=0")+COUNTIFS('Match Data'!D:D,A47,'Match Data'!F:F,"&gt;=0")</f>
        <v/>
      </c>
      <c r="D47">
        <f>SUMIF('Match Data'!C:C,A47,'Match Data'!G:G)+SUMIF('Match Data'!D:D,A47,'Match Data'!G:G)</f>
        <v/>
      </c>
      <c r="E47">
        <f>SUMIF('Match Data'!C:C,A47,'Match Data'!E:E)+SUMIF('Match Data'!D:D,A47,'Match Data'!F:F)</f>
        <v/>
      </c>
      <c r="F47">
        <f>SUMIF('Match Data'!C:C,A47,'Match Data'!F:F)+SUMIF('Match Data'!D:D,A47,'Match Data'!E:E)</f>
        <v/>
      </c>
      <c r="G47">
        <f>SUMIF('Match Data'!C:C,A47,'Match Data'!H:H)+SUMIF('Match Data'!D:D,A47,'Match Data'!I:I)</f>
        <v/>
      </c>
      <c r="H47" s="3">
        <f>IF(D47=0,0,G47/D47*90)</f>
        <v/>
      </c>
      <c r="I47">
        <f>SUMIF('Match Data'!C:C,A47,'Match Data'!J:J)+SUMIF('Match Data'!D:D,A47,'Match Data'!K:K)</f>
        <v/>
      </c>
      <c r="J47" s="3">
        <f>IF(D47=0,0,I47/D47*90)</f>
        <v/>
      </c>
      <c r="K47" s="3">
        <f>IF(C47=0,0,(SUMIF('Match Data'!C:C,A47,'Match Data'!L:L)+SUMIF('Match Data'!D:D,A47,'Match Data'!M:M))/C47)</f>
        <v/>
      </c>
      <c r="L47">
        <f>SUMIF('Match Data'!C:C,A47,'Match Data'!N:N)+SUMIF('Match Data'!D:D,A47,'Match Data'!O:O)</f>
        <v/>
      </c>
      <c r="M47" s="3">
        <f>IF(D47=0,0,L47/D47*90)</f>
        <v/>
      </c>
      <c r="N47">
        <f>SUMIF('Match Data'!C:C,A47,'Match Data'!P:P)+SUMIF('Match Data'!D:D,A47,'Match Data'!Q:Q)</f>
        <v/>
      </c>
      <c r="O47">
        <f>SUMIF('Match Data'!C:C,A47,'Match Data'!R:R)+SUMIF('Match Data'!D:D,A47,'Match Data'!S:S)</f>
        <v/>
      </c>
      <c r="P47">
        <f>N47*1+O47*2</f>
        <v/>
      </c>
      <c r="Q47" s="3">
        <f>IF(D47=0,0,P47/D47*90)</f>
        <v/>
      </c>
      <c r="R47">
        <f>SUMIF('Match Data'!C:C,A47,'Match Data'!T:T)+SUMIF('Match Data'!D:D,A47,'Match Data'!U:U)</f>
        <v/>
      </c>
      <c r="S47" s="3">
        <f>IF(D47=0,0,R47/D47*90)</f>
        <v/>
      </c>
      <c r="T47">
        <f>SUMIF('Match Data'!C:C,A47,'Match Data'!V:V)+SUMIF('Match Data'!D:D,A47,'Match Data'!W:W)</f>
        <v/>
      </c>
      <c r="U47" s="3">
        <f>IF(D47=0,0,T47/D47*90)</f>
        <v/>
      </c>
      <c r="V47">
        <f>E47-F47</f>
        <v/>
      </c>
    </row>
    <row r="48">
      <c r="A48">
        <f>Participants!B48</f>
        <v/>
      </c>
      <c r="B48">
        <f>Participants!C48</f>
        <v/>
      </c>
      <c r="C48">
        <f>COUNTIFS('Match Data'!C:C,A48,'Match Data'!E:E,"&gt;=0")+COUNTIFS('Match Data'!D:D,A48,'Match Data'!F:F,"&gt;=0")</f>
        <v/>
      </c>
      <c r="D48">
        <f>SUMIF('Match Data'!C:C,A48,'Match Data'!G:G)+SUMIF('Match Data'!D:D,A48,'Match Data'!G:G)</f>
        <v/>
      </c>
      <c r="E48">
        <f>SUMIF('Match Data'!C:C,A48,'Match Data'!E:E)+SUMIF('Match Data'!D:D,A48,'Match Data'!F:F)</f>
        <v/>
      </c>
      <c r="F48">
        <f>SUMIF('Match Data'!C:C,A48,'Match Data'!F:F)+SUMIF('Match Data'!D:D,A48,'Match Data'!E:E)</f>
        <v/>
      </c>
      <c r="G48">
        <f>SUMIF('Match Data'!C:C,A48,'Match Data'!H:H)+SUMIF('Match Data'!D:D,A48,'Match Data'!I:I)</f>
        <v/>
      </c>
      <c r="H48" s="3">
        <f>IF(D48=0,0,G48/D48*90)</f>
        <v/>
      </c>
      <c r="I48">
        <f>SUMIF('Match Data'!C:C,A48,'Match Data'!J:J)+SUMIF('Match Data'!D:D,A48,'Match Data'!K:K)</f>
        <v/>
      </c>
      <c r="J48" s="3">
        <f>IF(D48=0,0,I48/D48*90)</f>
        <v/>
      </c>
      <c r="K48" s="3">
        <f>IF(C48=0,0,(SUMIF('Match Data'!C:C,A48,'Match Data'!L:L)+SUMIF('Match Data'!D:D,A48,'Match Data'!M:M))/C48)</f>
        <v/>
      </c>
      <c r="L48">
        <f>SUMIF('Match Data'!C:C,A48,'Match Data'!N:N)+SUMIF('Match Data'!D:D,A48,'Match Data'!O:O)</f>
        <v/>
      </c>
      <c r="M48" s="3">
        <f>IF(D48=0,0,L48/D48*90)</f>
        <v/>
      </c>
      <c r="N48">
        <f>SUMIF('Match Data'!C:C,A48,'Match Data'!P:P)+SUMIF('Match Data'!D:D,A48,'Match Data'!Q:Q)</f>
        <v/>
      </c>
      <c r="O48">
        <f>SUMIF('Match Data'!C:C,A48,'Match Data'!R:R)+SUMIF('Match Data'!D:D,A48,'Match Data'!S:S)</f>
        <v/>
      </c>
      <c r="P48">
        <f>N48*1+O48*2</f>
        <v/>
      </c>
      <c r="Q48" s="3">
        <f>IF(D48=0,0,P48/D48*90)</f>
        <v/>
      </c>
      <c r="R48">
        <f>SUMIF('Match Data'!C:C,A48,'Match Data'!T:T)+SUMIF('Match Data'!D:D,A48,'Match Data'!U:U)</f>
        <v/>
      </c>
      <c r="S48" s="3">
        <f>IF(D48=0,0,R48/D48*90)</f>
        <v/>
      </c>
      <c r="T48">
        <f>SUMIF('Match Data'!C:C,A48,'Match Data'!V:V)+SUMIF('Match Data'!D:D,A48,'Match Data'!W:W)</f>
        <v/>
      </c>
      <c r="U48" s="3">
        <f>IF(D48=0,0,T48/D48*90)</f>
        <v/>
      </c>
      <c r="V48">
        <f>E48-F48</f>
        <v/>
      </c>
    </row>
    <row r="49">
      <c r="A49">
        <f>Participants!B49</f>
        <v/>
      </c>
      <c r="B49">
        <f>Participants!C49</f>
        <v/>
      </c>
      <c r="C49">
        <f>COUNTIFS('Match Data'!C:C,A49,'Match Data'!E:E,"&gt;=0")+COUNTIFS('Match Data'!D:D,A49,'Match Data'!F:F,"&gt;=0")</f>
        <v/>
      </c>
      <c r="D49">
        <f>SUMIF('Match Data'!C:C,A49,'Match Data'!G:G)+SUMIF('Match Data'!D:D,A49,'Match Data'!G:G)</f>
        <v/>
      </c>
      <c r="E49">
        <f>SUMIF('Match Data'!C:C,A49,'Match Data'!E:E)+SUMIF('Match Data'!D:D,A49,'Match Data'!F:F)</f>
        <v/>
      </c>
      <c r="F49">
        <f>SUMIF('Match Data'!C:C,A49,'Match Data'!F:F)+SUMIF('Match Data'!D:D,A49,'Match Data'!E:E)</f>
        <v/>
      </c>
      <c r="G49">
        <f>SUMIF('Match Data'!C:C,A49,'Match Data'!H:H)+SUMIF('Match Data'!D:D,A49,'Match Data'!I:I)</f>
        <v/>
      </c>
      <c r="H49" s="3">
        <f>IF(D49=0,0,G49/D49*90)</f>
        <v/>
      </c>
      <c r="I49">
        <f>SUMIF('Match Data'!C:C,A49,'Match Data'!J:J)+SUMIF('Match Data'!D:D,A49,'Match Data'!K:K)</f>
        <v/>
      </c>
      <c r="J49" s="3">
        <f>IF(D49=0,0,I49/D49*90)</f>
        <v/>
      </c>
      <c r="K49" s="3">
        <f>IF(C49=0,0,(SUMIF('Match Data'!C:C,A49,'Match Data'!L:L)+SUMIF('Match Data'!D:D,A49,'Match Data'!M:M))/C49)</f>
        <v/>
      </c>
      <c r="L49">
        <f>SUMIF('Match Data'!C:C,A49,'Match Data'!N:N)+SUMIF('Match Data'!D:D,A49,'Match Data'!O:O)</f>
        <v/>
      </c>
      <c r="M49" s="3">
        <f>IF(D49=0,0,L49/D49*90)</f>
        <v/>
      </c>
      <c r="N49">
        <f>SUMIF('Match Data'!C:C,A49,'Match Data'!P:P)+SUMIF('Match Data'!D:D,A49,'Match Data'!Q:Q)</f>
        <v/>
      </c>
      <c r="O49">
        <f>SUMIF('Match Data'!C:C,A49,'Match Data'!R:R)+SUMIF('Match Data'!D:D,A49,'Match Data'!S:S)</f>
        <v/>
      </c>
      <c r="P49">
        <f>N49*1+O49*2</f>
        <v/>
      </c>
      <c r="Q49" s="3">
        <f>IF(D49=0,0,P49/D49*90)</f>
        <v/>
      </c>
      <c r="R49">
        <f>SUMIF('Match Data'!C:C,A49,'Match Data'!T:T)+SUMIF('Match Data'!D:D,A49,'Match Data'!U:U)</f>
        <v/>
      </c>
      <c r="S49" s="3">
        <f>IF(D49=0,0,R49/D49*90)</f>
        <v/>
      </c>
      <c r="T49">
        <f>SUMIF('Match Data'!C:C,A49,'Match Data'!V:V)+SUMIF('Match Data'!D:D,A49,'Match Data'!W:W)</f>
        <v/>
      </c>
      <c r="U49" s="3">
        <f>IF(D49=0,0,T49/D49*90)</f>
        <v/>
      </c>
      <c r="V49">
        <f>E49-F49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5"/>
  <cols>
    <col width="38" bestFit="1" customWidth="1" min="1" max="1"/>
    <col width="22" bestFit="1" customWidth="1" min="2" max="3"/>
    <col width="10" bestFit="1" customWidth="1" min="4" max="4"/>
  </cols>
  <sheetData>
    <row r="1">
      <c r="A1" s="2" t="inlineStr">
        <is>
          <t>Category</t>
        </is>
      </c>
      <c r="B1" s="2" t="inlineStr">
        <is>
          <t>Winning Team</t>
        </is>
      </c>
      <c r="C1" s="2" t="inlineStr">
        <is>
          <t>Entrant</t>
        </is>
      </c>
      <c r="D1" s="2" t="inlineStr">
        <is>
          <t>Value</t>
        </is>
      </c>
      <c r="E1" t="inlineStr">
        <is>
          <t>Prize (£)</t>
        </is>
      </c>
    </row>
    <row r="2">
      <c r="A2" t="inlineStr">
        <is>
          <t>Most Shots / 90</t>
        </is>
      </c>
      <c r="B2">
        <f>IFERROR(INDEX('Team Totals'!$A$2:$A$49,MATCH(MAX('Team Totals'!$H$2:$H$49),'Team Totals'!$H$2:$H$49,0)),"")</f>
        <v/>
      </c>
      <c r="C2">
        <f>IFERROR(VLOOKUP(B2,Participants!$B$2:$C$49,2,FALSE),"")</f>
        <v/>
      </c>
      <c r="D2" s="3">
        <f>MAX('Team Totals'!$H$2:$H$49)</f>
        <v/>
      </c>
      <c r="E2" s="6" t="n">
        <v>20</v>
      </c>
    </row>
    <row r="3">
      <c r="A3" t="inlineStr">
        <is>
          <t>Highest Avg Possession %</t>
        </is>
      </c>
      <c r="B3">
        <f>IFERROR(INDEX('Team Totals'!$A$2:$A$49,MATCH(MAX('Team Totals'!$K$2:$K$49),'Team Totals'!$K$2:$K$49,0)),"")</f>
        <v/>
      </c>
      <c r="C3">
        <f>IFERROR(VLOOKUP(B3,Participants!$B$2:$C$49,2,FALSE),"")</f>
        <v/>
      </c>
      <c r="D3" s="3">
        <f>MAX('Team Totals'!$K$2:$K$49)</f>
        <v/>
      </c>
      <c r="E3" s="6" t="n">
        <v>20</v>
      </c>
    </row>
    <row r="4">
      <c r="A4" t="inlineStr">
        <is>
          <t>Most Fouls / 90</t>
        </is>
      </c>
      <c r="B4">
        <f>IFERROR(INDEX('Team Totals'!$A$2:$A$49,MATCH(MAX('Team Totals'!$M$2:$M$49),'Team Totals'!$M$2:$M$49,0)),"")</f>
        <v/>
      </c>
      <c r="C4">
        <f>IFERROR(VLOOKUP(B4,Participants!$B$2:$C$49,2,FALSE),"")</f>
        <v/>
      </c>
      <c r="D4" s="3">
        <f>MAX('Team Totals'!$M$2:$M$49)</f>
        <v/>
      </c>
      <c r="E4" s="6" t="n">
        <v>20</v>
      </c>
    </row>
    <row r="5">
      <c r="A5" t="inlineStr">
        <is>
          <t>Most Offsides / 90</t>
        </is>
      </c>
      <c r="B5">
        <f>IFERROR(INDEX('Team Totals'!$A$2:$A$49,MATCH(MAX('Team Totals'!$S$2:$S$49),'Team Totals'!$S$2:$S$49,0)),"")</f>
        <v/>
      </c>
      <c r="C5">
        <f>IFERROR(VLOOKUP(B5,Participants!$B$2:$C$49,2,FALSE),"")</f>
        <v/>
      </c>
      <c r="D5" s="3">
        <f>MAX('Team Totals'!$S$2:$S$49)</f>
        <v/>
      </c>
      <c r="E5" s="6" t="n">
        <v>20</v>
      </c>
    </row>
    <row r="6">
      <c r="A6" t="inlineStr">
        <is>
          <t>Most Corners / 90</t>
        </is>
      </c>
      <c r="B6">
        <f>IFERROR(INDEX('Team Totals'!$A$2:$A$49,MATCH(MAX('Team Totals'!$U$2:$U$49),'Team Totals'!$U$2:$U$49,0)),"")</f>
        <v/>
      </c>
      <c r="C6">
        <f>IFERROR(VLOOKUP(B6,Participants!$B$2:$C$49,2,FALSE),"")</f>
        <v/>
      </c>
      <c r="D6" s="3">
        <f>MAX('Team Totals'!$U$2:$U$49)</f>
        <v/>
      </c>
      <c r="E6" s="6" t="n">
        <v>20</v>
      </c>
    </row>
    <row r="7">
      <c r="A7" t="inlineStr">
        <is>
          <t>Largest Negative Goal Difference</t>
        </is>
      </c>
      <c r="B7">
        <f>IFERROR(INDEX('Team Totals'!$A$2:$A$49,MATCH(MIN('Team Totals'!$V$2:$V$49),'Team Totals'!$V$2:$V$49,0)),"")</f>
        <v/>
      </c>
      <c r="C7">
        <f>IFERROR(VLOOKUP(B7,Participants!$B$2:$C$49,2,FALSE),"")</f>
        <v/>
      </c>
      <c r="D7" s="3">
        <f>MIN('Team Totals'!$V$2:$V$49)</f>
        <v/>
      </c>
      <c r="E7" s="6" t="n">
        <v>20</v>
      </c>
    </row>
    <row r="8">
      <c r="D8" s="3" t="n"/>
    </row>
    <row r="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bestFit="1" customWidth="1" min="1" max="1"/>
    <col width="26" bestFit="1" customWidth="1" min="2" max="2"/>
    <col width="22" bestFit="1" customWidth="1" min="3" max="4"/>
  </cols>
  <sheetData>
    <row r="1">
      <c r="A1" s="2" t="inlineStr">
        <is>
          <t>Award</t>
        </is>
      </c>
      <c r="B1" s="2" t="inlineStr">
        <is>
          <t>Player (if applicable)</t>
        </is>
      </c>
      <c r="C1" s="2" t="inlineStr">
        <is>
          <t>Country / Team</t>
        </is>
      </c>
      <c r="D1" s="2" t="inlineStr">
        <is>
          <t>Entrant</t>
        </is>
      </c>
      <c r="E1" t="inlineStr">
        <is>
          <t>Prize (£)</t>
        </is>
      </c>
    </row>
    <row r="2">
      <c r="A2" t="inlineStr">
        <is>
          <t>Tournament Winner</t>
        </is>
      </c>
      <c r="D2">
        <f>IFERROR(VLOOKUP(C2,Participants!$B$2:$C$49,2,FALSE),"")</f>
        <v/>
      </c>
      <c r="E2" s="6" t="n">
        <v>150</v>
      </c>
    </row>
    <row r="3">
      <c r="A3" t="inlineStr">
        <is>
          <t>2nd Place</t>
        </is>
      </c>
      <c r="D3">
        <f>IFERROR(VLOOKUP(C3,Participants!$B$2:$C$49,2,FALSE),"")</f>
        <v/>
      </c>
      <c r="E3" s="6" t="n">
        <v>75</v>
      </c>
    </row>
    <row r="4">
      <c r="A4" t="inlineStr">
        <is>
          <t>3rd Place</t>
        </is>
      </c>
      <c r="D4">
        <f>IFERROR(VLOOKUP(C4,Participants!$B$2:$C$49,2,FALSE),"")</f>
        <v/>
      </c>
      <c r="E4" s="6" t="n">
        <v>35</v>
      </c>
    </row>
    <row r="5">
      <c r="A5" t="inlineStr">
        <is>
          <t>Golden Boot (Top Scorer)</t>
        </is>
      </c>
      <c r="D5">
        <f>IFERROR(VLOOKUP(C5,Participants!$B$2:$C$49,2,FALSE),"")</f>
        <v/>
      </c>
      <c r="E5" s="6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bestFit="1" customWidth="1" min="1" max="1"/>
    <col width="22" bestFit="1" customWidth="1" min="2" max="2"/>
    <col width="8" bestFit="1" customWidth="1" min="3" max="3"/>
    <col width="22" bestFit="1" customWidth="1" min="4" max="4"/>
  </cols>
  <sheetData>
    <row r="1">
      <c r="A1" s="2" t="inlineStr">
        <is>
          <t>Player</t>
        </is>
      </c>
      <c r="B1" s="2" t="inlineStr">
        <is>
          <t>Country</t>
        </is>
      </c>
      <c r="C1" s="2" t="inlineStr">
        <is>
          <t>Goals</t>
        </is>
      </c>
      <c r="D1" s="2" t="inlineStr">
        <is>
          <t>Entrant</t>
        </is>
      </c>
    </row>
    <row r="2">
      <c r="D2">
        <f>IF(B2="","",IFERROR(VLOOKUP(B2,Participants!$B$2:$C$49,2,FALSE),""))</f>
        <v/>
      </c>
    </row>
    <row r="3">
      <c r="D3">
        <f>IF(B3="","",IFERROR(VLOOKUP(B3,Participants!$B$2:$C$49,2,FALSE),""))</f>
        <v/>
      </c>
    </row>
    <row r="4">
      <c r="D4">
        <f>IF(B4="","",IFERROR(VLOOKUP(B4,Participants!$B$2:$C$49,2,FALSE),""))</f>
        <v/>
      </c>
    </row>
    <row r="5">
      <c r="D5">
        <f>IF(B5="","",IFERROR(VLOOKUP(B5,Participants!$B$2:$C$49,2,FALSE),""))</f>
        <v/>
      </c>
    </row>
    <row r="6">
      <c r="D6">
        <f>IF(B6="","",IFERROR(VLOOKUP(B6,Participants!$B$2:$C$49,2,FALSE),""))</f>
        <v/>
      </c>
    </row>
    <row r="7">
      <c r="D7">
        <f>IF(B7="","",IFERROR(VLOOKUP(B7,Participants!$B$2:$C$49,2,FALSE),""))</f>
        <v/>
      </c>
    </row>
    <row r="8">
      <c r="D8">
        <f>IF(B8="","",IFERROR(VLOOKUP(B8,Participants!$B$2:$C$49,2,FALSE),""))</f>
        <v/>
      </c>
    </row>
    <row r="9">
      <c r="D9">
        <f>IF(B9="","",IFERROR(VLOOKUP(B9,Participants!$B$2:$C$49,2,FALSE),""))</f>
        <v/>
      </c>
    </row>
    <row r="10">
      <c r="D10">
        <f>IF(B10="","",IFERROR(VLOOKUP(B10,Participants!$B$2:$C$49,2,FALSE),""))</f>
        <v/>
      </c>
    </row>
    <row r="11">
      <c r="D11">
        <f>IF(B11="","",IFERROR(VLOOKUP(B11,Participants!$B$2:$C$49,2,FALSE),""))</f>
        <v/>
      </c>
    </row>
    <row r="12">
      <c r="D12">
        <f>IF(B12="","",IFERROR(VLOOKUP(B12,Participants!$B$2:$C$49,2,FALSE),""))</f>
        <v/>
      </c>
    </row>
    <row r="13">
      <c r="D13">
        <f>IF(B13="","",IFERROR(VLOOKUP(B13,Participants!$B$2:$C$49,2,FALSE),""))</f>
        <v/>
      </c>
    </row>
    <row r="14">
      <c r="D14">
        <f>IF(B14="","",IFERROR(VLOOKUP(B14,Participants!$B$2:$C$49,2,FALSE),""))</f>
        <v/>
      </c>
    </row>
    <row r="15">
      <c r="D15">
        <f>IF(B15="","",IFERROR(VLOOKUP(B15,Participants!$B$2:$C$49,2,FALSE),""))</f>
        <v/>
      </c>
    </row>
    <row r="16">
      <c r="D16">
        <f>IF(B16="","",IFERROR(VLOOKUP(B16,Participants!$B$2:$C$49,2,FALSE),""))</f>
        <v/>
      </c>
    </row>
    <row r="17">
      <c r="D17">
        <f>IF(B17="","",IFERROR(VLOOKUP(B17,Participants!$B$2:$C$49,2,FALSE),""))</f>
        <v/>
      </c>
    </row>
    <row r="18">
      <c r="D18">
        <f>IF(B18="","",IFERROR(VLOOKUP(B18,Participants!$B$2:$C$49,2,FALSE),""))</f>
        <v/>
      </c>
    </row>
    <row r="19">
      <c r="D19">
        <f>IF(B19="","",IFERROR(VLOOKUP(B19,Participants!$B$2:$C$49,2,FALSE),""))</f>
        <v/>
      </c>
    </row>
    <row r="20">
      <c r="D20">
        <f>IF(B20="","",IFERROR(VLOOKUP(B20,Participants!$B$2:$C$49,2,FALSE),""))</f>
        <v/>
      </c>
    </row>
    <row r="21">
      <c r="D21">
        <f>IF(B21="","",IFERROR(VLOOKUP(B21,Participants!$B$2:$C$49,2,FALSE),""))</f>
        <v/>
      </c>
    </row>
    <row r="22">
      <c r="D22">
        <f>IF(B22="","",IFERROR(VLOOKUP(B22,Participants!$B$2:$C$49,2,FALSE),""))</f>
        <v/>
      </c>
    </row>
    <row r="23">
      <c r="D23">
        <f>IF(B23="","",IFERROR(VLOOKUP(B23,Participants!$B$2:$C$49,2,FALSE),""))</f>
        <v/>
      </c>
    </row>
    <row r="24">
      <c r="D24">
        <f>IF(B24="","",IFERROR(VLOOKUP(B24,Participants!$B$2:$C$49,2,FALSE),""))</f>
        <v/>
      </c>
    </row>
    <row r="25">
      <c r="D25">
        <f>IF(B25="","",IFERROR(VLOOKUP(B25,Participants!$B$2:$C$49,2,FALSE),""))</f>
        <v/>
      </c>
    </row>
    <row r="26">
      <c r="D26">
        <f>IF(B26="","",IFERROR(VLOOKUP(B26,Participants!$B$2:$C$49,2,FALSE),""))</f>
        <v/>
      </c>
    </row>
    <row r="27">
      <c r="D27">
        <f>IF(B27="","",IFERROR(VLOOKUP(B27,Participants!$B$2:$C$49,2,FALSE),""))</f>
        <v/>
      </c>
    </row>
    <row r="28">
      <c r="D28">
        <f>IF(B28="","",IFERROR(VLOOKUP(B28,Participants!$B$2:$C$49,2,FALSE),""))</f>
        <v/>
      </c>
    </row>
    <row r="29">
      <c r="D29">
        <f>IF(B29="","",IFERROR(VLOOKUP(B29,Participants!$B$2:$C$49,2,FALSE),""))</f>
        <v/>
      </c>
    </row>
    <row r="30">
      <c r="D30">
        <f>IF(B30="","",IFERROR(VLOOKUP(B30,Participants!$B$2:$C$49,2,FALSE),""))</f>
        <v/>
      </c>
    </row>
    <row r="31">
      <c r="D31">
        <f>IF(B31="","",IFERROR(VLOOKUP(B31,Participants!$B$2:$C$49,2,FALSE),""))</f>
        <v/>
      </c>
    </row>
    <row r="32">
      <c r="D32">
        <f>IF(B32="","",IFERROR(VLOOKUP(B32,Participants!$B$2:$C$49,2,FALSE),""))</f>
        <v/>
      </c>
    </row>
    <row r="33">
      <c r="D33">
        <f>IF(B33="","",IFERROR(VLOOKUP(B33,Participants!$B$2:$C$49,2,FALSE),""))</f>
        <v/>
      </c>
    </row>
    <row r="34">
      <c r="D34">
        <f>IF(B34="","",IFERROR(VLOOKUP(B34,Participants!$B$2:$C$49,2,FALSE),""))</f>
        <v/>
      </c>
    </row>
    <row r="35">
      <c r="D35">
        <f>IF(B35="","",IFERROR(VLOOKUP(B35,Participants!$B$2:$C$49,2,FALSE),""))</f>
        <v/>
      </c>
    </row>
    <row r="36">
      <c r="D36">
        <f>IF(B36="","",IFERROR(VLOOKUP(B36,Participants!$B$2:$C$49,2,FALSE),""))</f>
        <v/>
      </c>
    </row>
    <row r="37">
      <c r="D37">
        <f>IF(B37="","",IFERROR(VLOOKUP(B37,Participants!$B$2:$C$49,2,FALSE),""))</f>
        <v/>
      </c>
    </row>
    <row r="38">
      <c r="D38">
        <f>IF(B38="","",IFERROR(VLOOKUP(B38,Participants!$B$2:$C$49,2,FALSE),""))</f>
        <v/>
      </c>
    </row>
    <row r="39">
      <c r="D39">
        <f>IF(B39="","",IFERROR(VLOOKUP(B39,Participants!$B$2:$C$49,2,FALSE),""))</f>
        <v/>
      </c>
    </row>
    <row r="40">
      <c r="D40">
        <f>IF(B40="","",IFERROR(VLOOKUP(B40,Participants!$B$2:$C$49,2,FALSE),""))</f>
        <v/>
      </c>
    </row>
    <row r="41">
      <c r="D41">
        <f>IF(B41="","",IFERROR(VLOOKUP(B41,Participants!$B$2:$C$49,2,FALSE),""))</f>
        <v/>
      </c>
    </row>
    <row r="42">
      <c r="D42">
        <f>IF(B42="","",IFERROR(VLOOKUP(B42,Participants!$B$2:$C$49,2,FALSE),""))</f>
        <v/>
      </c>
    </row>
    <row r="43">
      <c r="D43">
        <f>IF(B43="","",IFERROR(VLOOKUP(B43,Participants!$B$2:$C$49,2,FALSE),""))</f>
        <v/>
      </c>
    </row>
    <row r="44">
      <c r="D44">
        <f>IF(B44="","",IFERROR(VLOOKUP(B44,Participants!$B$2:$C$49,2,FALSE),""))</f>
        <v/>
      </c>
    </row>
    <row r="45">
      <c r="D45">
        <f>IF(B45="","",IFERROR(VLOOKUP(B45,Participants!$B$2:$C$49,2,FALSE),""))</f>
        <v/>
      </c>
    </row>
    <row r="46">
      <c r="D46">
        <f>IF(B46="","",IFERROR(VLOOKUP(B46,Participants!$B$2:$C$49,2,FALSE),""))</f>
        <v/>
      </c>
    </row>
    <row r="47">
      <c r="D47">
        <f>IF(B47="","",IFERROR(VLOOKUP(B47,Participants!$B$2:$C$49,2,FALSE),""))</f>
        <v/>
      </c>
    </row>
    <row r="48">
      <c r="D48">
        <f>IF(B48="","",IFERROR(VLOOKUP(B48,Participants!$B$2:$C$49,2,FALSE),""))</f>
        <v/>
      </c>
    </row>
    <row r="49">
      <c r="D49">
        <f>IF(B49="","",IFERROR(VLOOKUP(B49,Participants!$B$2:$C$49,2,FALSE),""))</f>
        <v/>
      </c>
    </row>
    <row r="50">
      <c r="D50">
        <f>IF(B50="","",IFERROR(VLOOKUP(B50,Participants!$B$2:$C$49,2,FALSE),""))</f>
        <v/>
      </c>
    </row>
    <row r="51">
      <c r="D51">
        <f>IF(B51="","",IFERROR(VLOOKUP(B51,Participants!$B$2:$C$49,2,FALSE),""))</f>
        <v/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2026-05-07T09:58:02Z</dcterms:created>
  <dcterms:modified xsi:type="dcterms:W3CDTF">2026-06-05T15:21:28Z</dcterms:modified>
  <cp:lastModifiedBy>Colling, Myles</cp:lastModifiedBy>
</cp:coreProperties>
</file>